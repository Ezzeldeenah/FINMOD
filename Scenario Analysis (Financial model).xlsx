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zzel\Downloads\"/>
    </mc:Choice>
  </mc:AlternateContent>
  <xr:revisionPtr revIDLastSave="0" documentId="8_{CB3EFDF2-F520-4F16-898B-D954517F9BF5}" xr6:coauthVersionLast="47" xr6:coauthVersionMax="47" xr10:uidLastSave="{00000000-0000-0000-0000-000000000000}"/>
  <bookViews>
    <workbookView xWindow="-108" yWindow="-108" windowWidth="16608" windowHeight="9432" activeTab="1" xr2:uid="{53F27DF3-8310-A64D-BF64-AD9E7DF3DF86}"/>
  </bookViews>
  <sheets>
    <sheet name="Cover Page" sheetId="3" r:id="rId1"/>
    <sheet name="Exeutive Dashboard" sheetId="5" r:id="rId2"/>
    <sheet name="12 Month Rolling Forecast" sheetId="6" r:id="rId3"/>
    <sheet name="Assumptions &amp; Data" sheetId="4" r:id="rId4"/>
    <sheet name="SaaS Financial Model" sheetId="1" state="hidden" r:id="rId5"/>
    <sheet name="Year 2 Projection" sheetId="2" state="hidden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 a="1"/>
  <c r="E16" i="3" s="1"/>
  <c r="E15" i="3" a="1"/>
  <c r="E15" i="3" s="1"/>
  <c r="E14" i="3" a="1"/>
  <c r="E14" i="3" s="1"/>
  <c r="E13" i="3" a="1"/>
  <c r="E13" i="3" s="1"/>
  <c r="D6" i="4"/>
  <c r="B105" i="4" s="1"/>
  <c r="K14" i="1"/>
  <c r="K9" i="1"/>
  <c r="K7" i="1"/>
  <c r="F8" i="5"/>
  <c r="G16" i="1"/>
  <c r="Q53" i="6"/>
  <c r="N77" i="1"/>
  <c r="N59" i="1"/>
  <c r="B12" i="5"/>
  <c r="B11" i="5"/>
  <c r="B9" i="5"/>
  <c r="B8" i="5"/>
  <c r="D56" i="6"/>
  <c r="F18" i="5" s="1"/>
  <c r="C56" i="6"/>
  <c r="B77" i="1"/>
  <c r="E53" i="6"/>
  <c r="F53" i="6"/>
  <c r="G53" i="6"/>
  <c r="H53" i="6"/>
  <c r="I53" i="6"/>
  <c r="J53" i="6"/>
  <c r="K53" i="6"/>
  <c r="L53" i="6"/>
  <c r="M53" i="6"/>
  <c r="N53" i="6"/>
  <c r="O53" i="6"/>
  <c r="P53" i="6"/>
  <c r="D50" i="6"/>
  <c r="D53" i="6"/>
  <c r="D54" i="6"/>
  <c r="C54" i="6"/>
  <c r="C51" i="6"/>
  <c r="B72" i="1"/>
  <c r="B64" i="1"/>
  <c r="B68" i="1"/>
  <c r="B59" i="1"/>
  <c r="B55" i="1"/>
  <c r="B54" i="1"/>
  <c r="B49" i="1"/>
  <c r="B47" i="1"/>
  <c r="B46" i="1"/>
  <c r="B40" i="1"/>
  <c r="B39" i="1"/>
  <c r="B38" i="1"/>
  <c r="D13" i="6"/>
  <c r="D51" i="6" s="1"/>
  <c r="B41" i="1"/>
  <c r="B24" i="2"/>
  <c r="C9" i="6"/>
  <c r="D6" i="6" s="1"/>
  <c r="D9" i="6" s="1"/>
  <c r="E6" i="6" s="1"/>
  <c r="B27" i="4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B13" i="5" l="1"/>
  <c r="B10" i="5"/>
  <c r="B99" i="4"/>
  <c r="B95" i="4"/>
  <c r="F43" i="6" s="1"/>
  <c r="B91" i="4"/>
  <c r="B108" i="4"/>
  <c r="B98" i="4"/>
  <c r="B94" i="4"/>
  <c r="B90" i="4"/>
  <c r="E7" i="6" s="1"/>
  <c r="F7" i="6" s="1"/>
  <c r="G7" i="6" s="1"/>
  <c r="B107" i="4"/>
  <c r="B89" i="4"/>
  <c r="E13" i="6" s="1"/>
  <c r="B97" i="4"/>
  <c r="B93" i="4"/>
  <c r="G52" i="6" s="1"/>
  <c r="B104" i="4"/>
  <c r="B106" i="4"/>
  <c r="B100" i="4"/>
  <c r="B96" i="4"/>
  <c r="F41" i="6" s="1"/>
  <c r="B92" i="4"/>
  <c r="B109" i="4"/>
  <c r="I43" i="6"/>
  <c r="N52" i="6"/>
  <c r="E31" i="6"/>
  <c r="Q31" i="6" s="1"/>
  <c r="P43" i="6" l="1"/>
  <c r="N41" i="6"/>
  <c r="J43" i="6"/>
  <c r="L52" i="6"/>
  <c r="J41" i="6"/>
  <c r="O43" i="6"/>
  <c r="E8" i="6"/>
  <c r="E9" i="6" s="1"/>
  <c r="F6" i="6" s="1"/>
  <c r="F8" i="6" s="1"/>
  <c r="H41" i="6"/>
  <c r="H52" i="6"/>
  <c r="O41" i="6"/>
  <c r="L41" i="6"/>
  <c r="D52" i="6"/>
  <c r="K52" i="6"/>
  <c r="N43" i="6"/>
  <c r="G43" i="6"/>
  <c r="H43" i="6"/>
  <c r="I41" i="6"/>
  <c r="E16" i="6"/>
  <c r="K41" i="6"/>
  <c r="E52" i="6"/>
  <c r="M41" i="6"/>
  <c r="E15" i="6"/>
  <c r="K43" i="6"/>
  <c r="E43" i="6"/>
  <c r="G14" i="6"/>
  <c r="L43" i="6"/>
  <c r="M43" i="6"/>
  <c r="E14" i="6"/>
  <c r="O52" i="6"/>
  <c r="P52" i="6"/>
  <c r="I52" i="6"/>
  <c r="P41" i="6"/>
  <c r="F52" i="6"/>
  <c r="C53" i="6"/>
  <c r="E33" i="6"/>
  <c r="C52" i="6"/>
  <c r="G41" i="6"/>
  <c r="M52" i="6"/>
  <c r="J52" i="6"/>
  <c r="E41" i="6"/>
  <c r="F14" i="6"/>
  <c r="G33" i="6"/>
  <c r="F33" i="6"/>
  <c r="H7" i="6"/>
  <c r="I7" i="6" s="1"/>
  <c r="J7" i="6" s="1"/>
  <c r="K7" i="6" s="1"/>
  <c r="L7" i="6" s="1"/>
  <c r="M7" i="6" s="1"/>
  <c r="N7" i="6" s="1"/>
  <c r="O7" i="6" s="1"/>
  <c r="P7" i="6" s="1"/>
  <c r="P33" i="6" s="1"/>
  <c r="F9" i="6" l="1"/>
  <c r="G6" i="6" s="1"/>
  <c r="G8" i="6" s="1"/>
  <c r="G9" i="6" s="1"/>
  <c r="H6" i="6" s="1"/>
  <c r="E54" i="6"/>
  <c r="Q43" i="6"/>
  <c r="F10" i="5" s="1"/>
  <c r="E17" i="6"/>
  <c r="E18" i="6" s="1"/>
  <c r="E42" i="6" s="1"/>
  <c r="E44" i="6" s="1"/>
  <c r="Q52" i="6"/>
  <c r="F11" i="5" s="1"/>
  <c r="K33" i="6"/>
  <c r="Q41" i="6"/>
  <c r="J14" i="6"/>
  <c r="M14" i="6"/>
  <c r="O33" i="6"/>
  <c r="Q7" i="6"/>
  <c r="P14" i="6"/>
  <c r="L14" i="6"/>
  <c r="J33" i="6"/>
  <c r="H33" i="6"/>
  <c r="N14" i="6"/>
  <c r="O14" i="6"/>
  <c r="K14" i="6"/>
  <c r="M33" i="6"/>
  <c r="I14" i="6"/>
  <c r="I33" i="6"/>
  <c r="N33" i="6"/>
  <c r="H14" i="6"/>
  <c r="L33" i="6"/>
  <c r="E51" i="6" l="1"/>
  <c r="E50" i="6"/>
  <c r="E23" i="6"/>
  <c r="E24" i="6" s="1"/>
  <c r="E46" i="6"/>
  <c r="E19" i="6"/>
  <c r="F13" i="6"/>
  <c r="F15" i="6" s="1"/>
  <c r="Q33" i="6"/>
  <c r="Q14" i="6"/>
  <c r="E45" i="6"/>
  <c r="H8" i="6"/>
  <c r="F16" i="6" l="1"/>
  <c r="F54" i="6" s="1"/>
  <c r="H9" i="6"/>
  <c r="I6" i="6" s="1"/>
  <c r="I8" i="6" s="1"/>
  <c r="I9" i="6" s="1"/>
  <c r="J6" i="6" s="1"/>
  <c r="E25" i="6"/>
  <c r="F17" i="6" l="1"/>
  <c r="F18" i="6" s="1"/>
  <c r="J8" i="6"/>
  <c r="J9" i="6" s="1"/>
  <c r="K6" i="6" s="1"/>
  <c r="F23" i="6" l="1"/>
  <c r="F50" i="6"/>
  <c r="F19" i="6"/>
  <c r="F42" i="6"/>
  <c r="F51" i="6"/>
  <c r="G13" i="6"/>
  <c r="K8" i="6"/>
  <c r="K9" i="6" s="1"/>
  <c r="L6" i="6" s="1"/>
  <c r="G15" i="6" l="1"/>
  <c r="G16" i="6"/>
  <c r="F24" i="6"/>
  <c r="F25" i="6" s="1"/>
  <c r="F46" i="6"/>
  <c r="F44" i="6"/>
  <c r="L8" i="6"/>
  <c r="L9" i="6" s="1"/>
  <c r="M6" i="6" s="1"/>
  <c r="G54" i="6" l="1"/>
  <c r="F45" i="6"/>
  <c r="G17" i="6"/>
  <c r="M8" i="6"/>
  <c r="M9" i="6" s="1"/>
  <c r="N6" i="6" s="1"/>
  <c r="G18" i="6" l="1"/>
  <c r="N8" i="6"/>
  <c r="N9" i="6" s="1"/>
  <c r="O6" i="6" s="1"/>
  <c r="G50" i="6" l="1"/>
  <c r="G42" i="6"/>
  <c r="G51" i="6"/>
  <c r="G19" i="6"/>
  <c r="G23" i="6"/>
  <c r="H13" i="6"/>
  <c r="O8" i="6"/>
  <c r="O9" i="6" s="1"/>
  <c r="P6" i="6" s="1"/>
  <c r="G24" i="6" l="1"/>
  <c r="H15" i="6"/>
  <c r="H16" i="6"/>
  <c r="G44" i="6"/>
  <c r="G46" i="6"/>
  <c r="P8" i="6"/>
  <c r="H54" i="6" l="1"/>
  <c r="G25" i="6"/>
  <c r="G45" i="6"/>
  <c r="P9" i="6"/>
  <c r="Q8" i="6"/>
  <c r="H17" i="6"/>
  <c r="Q9" i="6" l="1"/>
  <c r="C10" i="5"/>
  <c r="H18" i="6"/>
  <c r="H42" i="6" l="1"/>
  <c r="H19" i="6"/>
  <c r="H50" i="6"/>
  <c r="H51" i="6"/>
  <c r="H23" i="6"/>
  <c r="I13" i="6"/>
  <c r="I16" i="6" l="1"/>
  <c r="I15" i="6"/>
  <c r="H24" i="6"/>
  <c r="H44" i="6"/>
  <c r="H46" i="6"/>
  <c r="H25" i="6" l="1"/>
  <c r="I54" i="6"/>
  <c r="I17" i="6"/>
  <c r="H45" i="6"/>
  <c r="I18" i="6" l="1"/>
  <c r="I51" i="6" l="1"/>
  <c r="J13" i="6"/>
  <c r="I19" i="6"/>
  <c r="I42" i="6"/>
  <c r="I50" i="6"/>
  <c r="I23" i="6"/>
  <c r="B82" i="4"/>
  <c r="B55" i="4"/>
  <c r="B110" i="4" s="1"/>
  <c r="I24" i="6" l="1"/>
  <c r="I25" i="6" s="1"/>
  <c r="J16" i="6"/>
  <c r="J15" i="6"/>
  <c r="I44" i="6"/>
  <c r="I46" i="6"/>
  <c r="H26" i="6" l="1"/>
  <c r="H27" i="6" s="1"/>
  <c r="H32" i="6" s="1"/>
  <c r="H34" i="6" s="1"/>
  <c r="L26" i="6"/>
  <c r="P26" i="6"/>
  <c r="E26" i="6"/>
  <c r="I26" i="6"/>
  <c r="I27" i="6" s="1"/>
  <c r="I32" i="6" s="1"/>
  <c r="I34" i="6" s="1"/>
  <c r="M26" i="6"/>
  <c r="F26" i="6"/>
  <c r="F27" i="6" s="1"/>
  <c r="F32" i="6" s="1"/>
  <c r="F34" i="6" s="1"/>
  <c r="J26" i="6"/>
  <c r="N26" i="6"/>
  <c r="G26" i="6"/>
  <c r="G27" i="6" s="1"/>
  <c r="G32" i="6" s="1"/>
  <c r="G34" i="6" s="1"/>
  <c r="K26" i="6"/>
  <c r="O26" i="6"/>
  <c r="I45" i="6"/>
  <c r="J54" i="6"/>
  <c r="J17" i="6"/>
  <c r="J18" i="6" s="1"/>
  <c r="I37" i="6" l="1"/>
  <c r="H37" i="6"/>
  <c r="G37" i="6"/>
  <c r="J23" i="6"/>
  <c r="J24" i="6" s="1"/>
  <c r="J25" i="6" s="1"/>
  <c r="J27" i="6" s="1"/>
  <c r="J32" i="6" s="1"/>
  <c r="J34" i="6" s="1"/>
  <c r="J42" i="6"/>
  <c r="J50" i="6"/>
  <c r="J51" i="6"/>
  <c r="J19" i="6"/>
  <c r="K13" i="6"/>
  <c r="Q26" i="6"/>
  <c r="E27" i="6"/>
  <c r="F37" i="6"/>
  <c r="J37" i="6" l="1"/>
  <c r="E32" i="6"/>
  <c r="K16" i="6"/>
  <c r="K15" i="6"/>
  <c r="J46" i="6"/>
  <c r="J44" i="6"/>
  <c r="J45" i="6" s="1"/>
  <c r="K54" i="6" l="1"/>
  <c r="K17" i="6"/>
  <c r="K18" i="6" s="1"/>
  <c r="E34" i="6"/>
  <c r="K51" i="6" l="1"/>
  <c r="L13" i="6"/>
  <c r="K19" i="6"/>
  <c r="K42" i="6"/>
  <c r="K50" i="6"/>
  <c r="K23" i="6"/>
  <c r="K24" i="6" s="1"/>
  <c r="K25" i="6" s="1"/>
  <c r="K27" i="6" s="1"/>
  <c r="E37" i="6"/>
  <c r="E35" i="6"/>
  <c r="F31" i="6" s="1"/>
  <c r="F35" i="6" s="1"/>
  <c r="E56" i="6" l="1"/>
  <c r="K44" i="6"/>
  <c r="K45" i="6" s="1"/>
  <c r="K46" i="6"/>
  <c r="K32" i="6"/>
  <c r="L15" i="6"/>
  <c r="L16" i="6"/>
  <c r="G31" i="6"/>
  <c r="G35" i="6" s="1"/>
  <c r="F56" i="6"/>
  <c r="H31" i="6" l="1"/>
  <c r="H35" i="6" s="1"/>
  <c r="G56" i="6"/>
  <c r="K34" i="6"/>
  <c r="L17" i="6"/>
  <c r="L18" i="6" s="1"/>
  <c r="L54" i="6"/>
  <c r="I31" i="6" l="1"/>
  <c r="I35" i="6" s="1"/>
  <c r="H56" i="6"/>
  <c r="L19" i="6"/>
  <c r="L23" i="6"/>
  <c r="L24" i="6" s="1"/>
  <c r="L25" i="6" s="1"/>
  <c r="L27" i="6" s="1"/>
  <c r="L42" i="6"/>
  <c r="M13" i="6"/>
  <c r="L50" i="6"/>
  <c r="L51" i="6"/>
  <c r="K37" i="6"/>
  <c r="J31" i="6" l="1"/>
  <c r="J35" i="6" s="1"/>
  <c r="I56" i="6"/>
  <c r="M16" i="6"/>
  <c r="M15" i="6"/>
  <c r="L44" i="6"/>
  <c r="L45" i="6" s="1"/>
  <c r="L46" i="6"/>
  <c r="L32" i="6"/>
  <c r="K31" i="6" l="1"/>
  <c r="K35" i="6" s="1"/>
  <c r="J56" i="6"/>
  <c r="M17" i="6"/>
  <c r="M18" i="6" s="1"/>
  <c r="M54" i="6"/>
  <c r="L34" i="6"/>
  <c r="L31" i="6" l="1"/>
  <c r="L35" i="6" s="1"/>
  <c r="M31" i="6" s="1"/>
  <c r="K56" i="6"/>
  <c r="L37" i="6"/>
  <c r="M51" i="6"/>
  <c r="M23" i="6"/>
  <c r="M24" i="6" s="1"/>
  <c r="M25" i="6" s="1"/>
  <c r="M27" i="6" s="1"/>
  <c r="M50" i="6"/>
  <c r="N13" i="6"/>
  <c r="M19" i="6"/>
  <c r="M42" i="6"/>
  <c r="L56" i="6" l="1"/>
  <c r="M46" i="6"/>
  <c r="M44" i="6"/>
  <c r="M45" i="6" s="1"/>
  <c r="N15" i="6"/>
  <c r="N16" i="6"/>
  <c r="M32" i="6"/>
  <c r="N54" i="6" l="1"/>
  <c r="N17" i="6"/>
  <c r="N18" i="6" s="1"/>
  <c r="M34" i="6"/>
  <c r="N42" i="6" l="1"/>
  <c r="N50" i="6"/>
  <c r="O13" i="6"/>
  <c r="N51" i="6"/>
  <c r="N23" i="6"/>
  <c r="N24" i="6" s="1"/>
  <c r="N25" i="6" s="1"/>
  <c r="N27" i="6" s="1"/>
  <c r="N19" i="6"/>
  <c r="M35" i="6"/>
  <c r="N31" i="6" s="1"/>
  <c r="M37" i="6"/>
  <c r="M56" i="6" l="1"/>
  <c r="O16" i="6"/>
  <c r="O15" i="6"/>
  <c r="N32" i="6"/>
  <c r="N44" i="6"/>
  <c r="N45" i="6" s="1"/>
  <c r="N46" i="6"/>
  <c r="O54" i="6" l="1"/>
  <c r="O17" i="6"/>
  <c r="O18" i="6" s="1"/>
  <c r="N34" i="6"/>
  <c r="N37" i="6" l="1"/>
  <c r="N35" i="6"/>
  <c r="O31" i="6" s="1"/>
  <c r="O19" i="6"/>
  <c r="O51" i="6"/>
  <c r="O50" i="6"/>
  <c r="O42" i="6"/>
  <c r="P13" i="6"/>
  <c r="O23" i="6"/>
  <c r="O24" i="6" s="1"/>
  <c r="O25" i="6" s="1"/>
  <c r="O27" i="6" s="1"/>
  <c r="O32" i="6" s="1"/>
  <c r="O34" i="6" s="1"/>
  <c r="G5" i="1"/>
  <c r="B40" i="2"/>
  <c r="B7" i="2"/>
  <c r="F93" i="1"/>
  <c r="C93" i="1"/>
  <c r="B93" i="1"/>
  <c r="F92" i="1"/>
  <c r="C92" i="1"/>
  <c r="B92" i="1"/>
  <c r="F91" i="1"/>
  <c r="C91" i="1"/>
  <c r="B91" i="1"/>
  <c r="F86" i="1"/>
  <c r="C86" i="1"/>
  <c r="B86" i="1"/>
  <c r="F85" i="1"/>
  <c r="B85" i="1"/>
  <c r="C85" i="1" s="1"/>
  <c r="F84" i="1"/>
  <c r="B84" i="1"/>
  <c r="C84" i="1" s="1"/>
  <c r="F83" i="1"/>
  <c r="C83" i="1"/>
  <c r="B83" i="1"/>
  <c r="F82" i="1"/>
  <c r="B82" i="1"/>
  <c r="C82" i="1" s="1"/>
  <c r="N74" i="1"/>
  <c r="M74" i="1"/>
  <c r="L74" i="1"/>
  <c r="K74" i="1"/>
  <c r="J74" i="1"/>
  <c r="I74" i="1"/>
  <c r="H74" i="1"/>
  <c r="G74" i="1"/>
  <c r="F74" i="1"/>
  <c r="E74" i="1"/>
  <c r="D74" i="1"/>
  <c r="M73" i="1"/>
  <c r="L73" i="1"/>
  <c r="K73" i="1"/>
  <c r="J73" i="1"/>
  <c r="I73" i="1"/>
  <c r="H73" i="1"/>
  <c r="G73" i="1"/>
  <c r="F73" i="1"/>
  <c r="E73" i="1"/>
  <c r="D73" i="1"/>
  <c r="C74" i="1"/>
  <c r="C73" i="1"/>
  <c r="N73" i="1" s="1"/>
  <c r="K8" i="1" s="1"/>
  <c r="B74" i="1"/>
  <c r="B73" i="1"/>
  <c r="M65" i="1"/>
  <c r="L65" i="1"/>
  <c r="K65" i="1"/>
  <c r="J65" i="1"/>
  <c r="I65" i="1"/>
  <c r="H65" i="1"/>
  <c r="G65" i="1"/>
  <c r="F65" i="1"/>
  <c r="E65" i="1"/>
  <c r="D65" i="1"/>
  <c r="C65" i="1"/>
  <c r="M63" i="1"/>
  <c r="L63" i="1"/>
  <c r="K63" i="1"/>
  <c r="J63" i="1"/>
  <c r="I63" i="1"/>
  <c r="H63" i="1"/>
  <c r="G63" i="1"/>
  <c r="F63" i="1"/>
  <c r="E63" i="1"/>
  <c r="D63" i="1"/>
  <c r="C63" i="1"/>
  <c r="B65" i="1"/>
  <c r="B63" i="1"/>
  <c r="N53" i="1"/>
  <c r="B53" i="1"/>
  <c r="B37" i="1"/>
  <c r="C32" i="1"/>
  <c r="B32" i="1"/>
  <c r="B31" i="1"/>
  <c r="B26" i="1"/>
  <c r="N56" i="6" l="1"/>
  <c r="O44" i="6"/>
  <c r="O45" i="6" s="1"/>
  <c r="O46" i="6"/>
  <c r="O37" i="6"/>
  <c r="O35" i="6"/>
  <c r="P31" i="6" s="1"/>
  <c r="P16" i="6"/>
  <c r="Q16" i="6" s="1"/>
  <c r="P15" i="6"/>
  <c r="C49" i="1"/>
  <c r="D49" i="1" s="1"/>
  <c r="N65" i="1"/>
  <c r="B75" i="1"/>
  <c r="N63" i="1"/>
  <c r="D32" i="1"/>
  <c r="C55" i="1"/>
  <c r="C38" i="1"/>
  <c r="B33" i="1"/>
  <c r="E49" i="1"/>
  <c r="O56" i="6" l="1"/>
  <c r="Q15" i="6"/>
  <c r="P54" i="6"/>
  <c r="Q54" i="6" s="1"/>
  <c r="F12" i="5" s="1"/>
  <c r="P17" i="6"/>
  <c r="E32" i="1"/>
  <c r="D38" i="1"/>
  <c r="D55" i="1"/>
  <c r="B34" i="1"/>
  <c r="F49" i="1"/>
  <c r="P18" i="6" l="1"/>
  <c r="Q17" i="6"/>
  <c r="C31" i="1"/>
  <c r="G7" i="1"/>
  <c r="B42" i="1"/>
  <c r="F32" i="1"/>
  <c r="E55" i="1"/>
  <c r="E38" i="1"/>
  <c r="G49" i="1"/>
  <c r="Q18" i="6" l="1"/>
  <c r="Q19" i="6" s="1"/>
  <c r="C8" i="5"/>
  <c r="P50" i="6"/>
  <c r="Q50" i="6" s="1"/>
  <c r="P23" i="6"/>
  <c r="P51" i="6"/>
  <c r="Q51" i="6" s="1"/>
  <c r="P42" i="6"/>
  <c r="P19" i="6"/>
  <c r="C9" i="5" s="1"/>
  <c r="C37" i="1"/>
  <c r="I81" i="1"/>
  <c r="B43" i="1"/>
  <c r="G6" i="1" s="1"/>
  <c r="C33" i="1"/>
  <c r="G32" i="1"/>
  <c r="F55" i="1"/>
  <c r="F38" i="1"/>
  <c r="H49" i="1"/>
  <c r="Q42" i="6" l="1"/>
  <c r="P46" i="6"/>
  <c r="Q46" i="6" s="1"/>
  <c r="P44" i="6"/>
  <c r="P24" i="6"/>
  <c r="Q23" i="6"/>
  <c r="B16" i="5" s="1"/>
  <c r="B66" i="1"/>
  <c r="H32" i="1"/>
  <c r="G55" i="1"/>
  <c r="G38" i="1"/>
  <c r="C40" i="1"/>
  <c r="C39" i="1"/>
  <c r="C34" i="1"/>
  <c r="D31" i="1" s="1"/>
  <c r="I49" i="1"/>
  <c r="P25" i="6" l="1"/>
  <c r="Q24" i="6"/>
  <c r="P45" i="6"/>
  <c r="Q45" i="6" s="1"/>
  <c r="Q44" i="6"/>
  <c r="I32" i="1"/>
  <c r="H38" i="1"/>
  <c r="H55" i="1"/>
  <c r="B48" i="1"/>
  <c r="C75" i="1"/>
  <c r="C41" i="1"/>
  <c r="D33" i="1"/>
  <c r="B67" i="1"/>
  <c r="J49" i="1"/>
  <c r="P27" i="6" l="1"/>
  <c r="Q25" i="6"/>
  <c r="D34" i="1"/>
  <c r="E31" i="1" s="1"/>
  <c r="E33" i="1" s="1"/>
  <c r="E34" i="1" s="1"/>
  <c r="F31" i="1" s="1"/>
  <c r="F33" i="1" s="1"/>
  <c r="F34" i="1" s="1"/>
  <c r="G31" i="1" s="1"/>
  <c r="G33" i="1" s="1"/>
  <c r="G34" i="1" s="1"/>
  <c r="H31" i="1" s="1"/>
  <c r="H33" i="1" s="1"/>
  <c r="H34" i="1" s="1"/>
  <c r="I31" i="1" s="1"/>
  <c r="I33" i="1" s="1"/>
  <c r="I34" i="1" s="1"/>
  <c r="J31" i="1" s="1"/>
  <c r="J33" i="1" s="1"/>
  <c r="J34" i="1" s="1"/>
  <c r="K31" i="1" s="1"/>
  <c r="B50" i="1"/>
  <c r="C42" i="1"/>
  <c r="J32" i="1"/>
  <c r="I38" i="1"/>
  <c r="I55" i="1"/>
  <c r="K49" i="1"/>
  <c r="P32" i="6" l="1"/>
  <c r="Q27" i="6"/>
  <c r="B17" i="5" s="1"/>
  <c r="K32" i="1"/>
  <c r="J38" i="1"/>
  <c r="J55" i="1"/>
  <c r="C71" i="1"/>
  <c r="D37" i="1"/>
  <c r="J81" i="1"/>
  <c r="C46" i="1"/>
  <c r="C43" i="1"/>
  <c r="C72" i="1"/>
  <c r="C64" i="1"/>
  <c r="L49" i="1"/>
  <c r="K33" i="1"/>
  <c r="K34" i="1"/>
  <c r="L31" i="1" s="1"/>
  <c r="P34" i="6" l="1"/>
  <c r="Q32" i="6"/>
  <c r="B56" i="1"/>
  <c r="D39" i="1"/>
  <c r="D40" i="1"/>
  <c r="C66" i="1"/>
  <c r="C68" i="1"/>
  <c r="L32" i="1"/>
  <c r="K38" i="1"/>
  <c r="K55" i="1"/>
  <c r="C48" i="1"/>
  <c r="C47" i="1"/>
  <c r="M49" i="1"/>
  <c r="L33" i="1"/>
  <c r="P35" i="6" l="1"/>
  <c r="P56" i="6" s="1"/>
  <c r="P37" i="6"/>
  <c r="Q34" i="6"/>
  <c r="B18" i="5" s="1"/>
  <c r="C50" i="1"/>
  <c r="D75" i="1"/>
  <c r="D41" i="1"/>
  <c r="L34" i="1"/>
  <c r="M31" i="1" s="1"/>
  <c r="B57" i="1"/>
  <c r="B35" i="2"/>
  <c r="N49" i="1"/>
  <c r="C67" i="1"/>
  <c r="M32" i="1"/>
  <c r="L38" i="1"/>
  <c r="L55" i="1"/>
  <c r="M33" i="1"/>
  <c r="C13" i="5" l="1"/>
  <c r="Q56" i="6"/>
  <c r="C11" i="5"/>
  <c r="Q37" i="6"/>
  <c r="F9" i="5" s="1"/>
  <c r="C12" i="5"/>
  <c r="Q35" i="6"/>
  <c r="C35" i="2"/>
  <c r="D35" i="2" s="1"/>
  <c r="E35" i="2" s="1"/>
  <c r="F35" i="2" s="1"/>
  <c r="G35" i="2" s="1"/>
  <c r="H35" i="2" s="1"/>
  <c r="I35" i="2" s="1"/>
  <c r="J35" i="2" s="1"/>
  <c r="K35" i="2" s="1"/>
  <c r="L35" i="2" s="1"/>
  <c r="M35" i="2" s="1"/>
  <c r="M34" i="1"/>
  <c r="N33" i="1"/>
  <c r="G8" i="1"/>
  <c r="D42" i="1"/>
  <c r="C53" i="1"/>
  <c r="G9" i="1"/>
  <c r="I82" i="1"/>
  <c r="M55" i="1"/>
  <c r="N55" i="1" s="1"/>
  <c r="B18" i="2"/>
  <c r="M38" i="1"/>
  <c r="N32" i="1"/>
  <c r="C54" i="1"/>
  <c r="B19" i="5" l="1"/>
  <c r="N38" i="1"/>
  <c r="D71" i="1"/>
  <c r="K81" i="1"/>
  <c r="D72" i="1"/>
  <c r="D46" i="1"/>
  <c r="D64" i="1"/>
  <c r="D43" i="1"/>
  <c r="E37" i="1"/>
  <c r="N34" i="1"/>
  <c r="H7" i="1"/>
  <c r="B17" i="2"/>
  <c r="C18" i="2"/>
  <c r="B42" i="2"/>
  <c r="C56" i="1"/>
  <c r="G10" i="1"/>
  <c r="C57" i="1"/>
  <c r="N35" i="2"/>
  <c r="O35" i="2" s="1"/>
  <c r="D66" i="1" l="1"/>
  <c r="D68" i="1"/>
  <c r="D47" i="1"/>
  <c r="D53" i="1"/>
  <c r="J82" i="1"/>
  <c r="C42" i="2"/>
  <c r="D18" i="2"/>
  <c r="C24" i="2"/>
  <c r="B19" i="2"/>
  <c r="B20" i="2"/>
  <c r="C17" i="2" s="1"/>
  <c r="C59" i="1"/>
  <c r="C77" i="1"/>
  <c r="E39" i="1"/>
  <c r="E40" i="1"/>
  <c r="D48" i="1" l="1"/>
  <c r="E75" i="1"/>
  <c r="E41" i="1"/>
  <c r="C19" i="2"/>
  <c r="C20" i="2" s="1"/>
  <c r="D17" i="2" s="1"/>
  <c r="D19" i="2" s="1"/>
  <c r="D20" i="2" s="1"/>
  <c r="E17" i="2" s="1"/>
  <c r="E19" i="2" s="1"/>
  <c r="E20" i="2" s="1"/>
  <c r="F17" i="2" s="1"/>
  <c r="E18" i="2"/>
  <c r="D42" i="2"/>
  <c r="D24" i="2"/>
  <c r="D67" i="1"/>
  <c r="F19" i="2" l="1"/>
  <c r="E42" i="1"/>
  <c r="F18" i="2"/>
  <c r="E42" i="2"/>
  <c r="E24" i="2"/>
  <c r="D50" i="1"/>
  <c r="L81" i="1" l="1"/>
  <c r="E72" i="1"/>
  <c r="E64" i="1"/>
  <c r="E71" i="1"/>
  <c r="E46" i="1"/>
  <c r="F37" i="1"/>
  <c r="E43" i="1"/>
  <c r="G18" i="2"/>
  <c r="F42" i="2"/>
  <c r="F24" i="2"/>
  <c r="D54" i="1"/>
  <c r="F20" i="2"/>
  <c r="G17" i="2" s="1"/>
  <c r="G19" i="2" l="1"/>
  <c r="G20" i="2"/>
  <c r="H17" i="2" s="1"/>
  <c r="H19" i="2" s="1"/>
  <c r="E47" i="1"/>
  <c r="E48" i="1" s="1"/>
  <c r="F39" i="1"/>
  <c r="F40" i="1"/>
  <c r="D56" i="1"/>
  <c r="E66" i="1"/>
  <c r="E68" i="1"/>
  <c r="H18" i="2"/>
  <c r="G42" i="2"/>
  <c r="G24" i="2"/>
  <c r="D59" i="1" l="1"/>
  <c r="D57" i="1"/>
  <c r="F75" i="1"/>
  <c r="F41" i="1"/>
  <c r="E50" i="1"/>
  <c r="H20" i="2"/>
  <c r="I17" i="2" s="1"/>
  <c r="I19" i="2" s="1"/>
  <c r="I20" i="2" s="1"/>
  <c r="J17" i="2" s="1"/>
  <c r="I18" i="2"/>
  <c r="H42" i="2"/>
  <c r="H24" i="2"/>
  <c r="E67" i="1"/>
  <c r="F42" i="1" l="1"/>
  <c r="J19" i="2"/>
  <c r="E54" i="1"/>
  <c r="E53" i="1"/>
  <c r="K82" i="1"/>
  <c r="J18" i="2"/>
  <c r="I24" i="2"/>
  <c r="I42" i="2"/>
  <c r="D77" i="1"/>
  <c r="J20" i="2" l="1"/>
  <c r="K17" i="2" s="1"/>
  <c r="K19" i="2"/>
  <c r="K18" i="2"/>
  <c r="J42" i="2"/>
  <c r="J24" i="2"/>
  <c r="E56" i="1"/>
  <c r="F46" i="1"/>
  <c r="F71" i="1"/>
  <c r="F64" i="1"/>
  <c r="M81" i="1"/>
  <c r="F72" i="1"/>
  <c r="G37" i="1"/>
  <c r="F43" i="1"/>
  <c r="E59" i="1" l="1"/>
  <c r="G39" i="1"/>
  <c r="G40" i="1"/>
  <c r="F66" i="1"/>
  <c r="F67" i="1" s="1"/>
  <c r="F68" i="1"/>
  <c r="F47" i="1"/>
  <c r="F48" i="1"/>
  <c r="L18" i="2"/>
  <c r="K42" i="2"/>
  <c r="K24" i="2"/>
  <c r="E57" i="1"/>
  <c r="E77" i="1" s="1"/>
  <c r="K20" i="2"/>
  <c r="L17" i="2" s="1"/>
  <c r="L19" i="2" s="1"/>
  <c r="M18" i="2" l="1"/>
  <c r="L42" i="2"/>
  <c r="L24" i="2"/>
  <c r="L20" i="2"/>
  <c r="M17" i="2" s="1"/>
  <c r="M19" i="2" s="1"/>
  <c r="G41" i="1"/>
  <c r="G42" i="1" s="1"/>
  <c r="G75" i="1"/>
  <c r="F50" i="1"/>
  <c r="F53" i="1"/>
  <c r="L82" i="1"/>
  <c r="F54" i="1" l="1"/>
  <c r="G71" i="1"/>
  <c r="G64" i="1"/>
  <c r="G46" i="1"/>
  <c r="G72" i="1"/>
  <c r="N81" i="1"/>
  <c r="G43" i="1"/>
  <c r="H37" i="1"/>
  <c r="M20" i="2"/>
  <c r="N19" i="2"/>
  <c r="O19" i="2" s="1"/>
  <c r="M42" i="2"/>
  <c r="M24" i="2"/>
  <c r="N24" i="2" s="1"/>
  <c r="O24" i="2" s="1"/>
  <c r="N18" i="2"/>
  <c r="O18" i="2" s="1"/>
  <c r="G47" i="1" l="1"/>
  <c r="G48" i="1" s="1"/>
  <c r="G50" i="1" s="1"/>
  <c r="G54" i="1" s="1"/>
  <c r="G56" i="1" s="1"/>
  <c r="G66" i="1"/>
  <c r="G67" i="1" s="1"/>
  <c r="G68" i="1"/>
  <c r="O20" i="2"/>
  <c r="N20" i="2"/>
  <c r="H40" i="1"/>
  <c r="H39" i="1"/>
  <c r="F56" i="1"/>
  <c r="G59" i="1" l="1"/>
  <c r="H41" i="1"/>
  <c r="H42" i="1" s="1"/>
  <c r="H75" i="1"/>
  <c r="F59" i="1"/>
  <c r="F57" i="1"/>
  <c r="G53" i="1" l="1"/>
  <c r="G57" i="1" s="1"/>
  <c r="M82" i="1"/>
  <c r="F77" i="1"/>
  <c r="H46" i="1"/>
  <c r="H47" i="1" s="1"/>
  <c r="H48" i="1" s="1"/>
  <c r="H50" i="1" s="1"/>
  <c r="H54" i="1" s="1"/>
  <c r="H56" i="1" s="1"/>
  <c r="H64" i="1"/>
  <c r="O81" i="1"/>
  <c r="H72" i="1"/>
  <c r="H71" i="1"/>
  <c r="I37" i="1"/>
  <c r="H43" i="1"/>
  <c r="H59" i="1" l="1"/>
  <c r="H66" i="1"/>
  <c r="H67" i="1" s="1"/>
  <c r="H68" i="1"/>
  <c r="I40" i="1"/>
  <c r="I39" i="1"/>
  <c r="H53" i="1"/>
  <c r="H57" i="1" s="1"/>
  <c r="N82" i="1"/>
  <c r="G77" i="1"/>
  <c r="I53" i="1" l="1"/>
  <c r="O82" i="1"/>
  <c r="I41" i="1"/>
  <c r="I42" i="1" s="1"/>
  <c r="I75" i="1"/>
  <c r="H77" i="1"/>
  <c r="I64" i="1" l="1"/>
  <c r="I46" i="1"/>
  <c r="I47" i="1" s="1"/>
  <c r="I48" i="1" s="1"/>
  <c r="I50" i="1" s="1"/>
  <c r="I54" i="1" s="1"/>
  <c r="I56" i="1" s="1"/>
  <c r="P81" i="1"/>
  <c r="I72" i="1"/>
  <c r="I71" i="1"/>
  <c r="I43" i="1"/>
  <c r="J37" i="1"/>
  <c r="I57" i="1"/>
  <c r="J39" i="1" l="1"/>
  <c r="J40" i="1"/>
  <c r="J53" i="1"/>
  <c r="P82" i="1"/>
  <c r="I59" i="1"/>
  <c r="I77" i="1"/>
  <c r="I66" i="1"/>
  <c r="I67" i="1" s="1"/>
  <c r="I68" i="1"/>
  <c r="J41" i="1" l="1"/>
  <c r="J42" i="1" s="1"/>
  <c r="J75" i="1"/>
  <c r="J64" i="1" l="1"/>
  <c r="J72" i="1"/>
  <c r="J46" i="1"/>
  <c r="Q81" i="1"/>
  <c r="J71" i="1"/>
  <c r="K37" i="1"/>
  <c r="J43" i="1"/>
  <c r="K40" i="1" l="1"/>
  <c r="K39" i="1"/>
  <c r="J47" i="1"/>
  <c r="J48" i="1"/>
  <c r="J50" i="1" s="1"/>
  <c r="J54" i="1" s="1"/>
  <c r="J56" i="1" s="1"/>
  <c r="J66" i="1"/>
  <c r="J67" i="1" s="1"/>
  <c r="J68" i="1"/>
  <c r="J59" i="1" l="1"/>
  <c r="J57" i="1"/>
  <c r="K41" i="1"/>
  <c r="K42" i="1" s="1"/>
  <c r="K75" i="1"/>
  <c r="K46" i="1" l="1"/>
  <c r="K47" i="1" s="1"/>
  <c r="K48" i="1" s="1"/>
  <c r="K50" i="1" s="1"/>
  <c r="K54" i="1" s="1"/>
  <c r="K56" i="1" s="1"/>
  <c r="R81" i="1"/>
  <c r="K72" i="1"/>
  <c r="K71" i="1"/>
  <c r="K64" i="1"/>
  <c r="L37" i="1"/>
  <c r="K43" i="1"/>
  <c r="K53" i="1"/>
  <c r="K57" i="1" s="1"/>
  <c r="Q82" i="1"/>
  <c r="J77" i="1"/>
  <c r="L39" i="1" l="1"/>
  <c r="L40" i="1"/>
  <c r="L53" i="1"/>
  <c r="R82" i="1"/>
  <c r="K66" i="1"/>
  <c r="K67" i="1" s="1"/>
  <c r="K68" i="1"/>
  <c r="K59" i="1"/>
  <c r="K77" i="1"/>
  <c r="L41" i="1" l="1"/>
  <c r="L42" i="1" s="1"/>
  <c r="L75" i="1"/>
  <c r="L71" i="1" l="1"/>
  <c r="S81" i="1"/>
  <c r="L72" i="1"/>
  <c r="L64" i="1"/>
  <c r="L46" i="1"/>
  <c r="L47" i="1" s="1"/>
  <c r="L48" i="1" s="1"/>
  <c r="L50" i="1" s="1"/>
  <c r="L54" i="1" s="1"/>
  <c r="L56" i="1" s="1"/>
  <c r="L43" i="1"/>
  <c r="M37" i="1"/>
  <c r="M39" i="1" l="1"/>
  <c r="M40" i="1"/>
  <c r="N40" i="1" s="1"/>
  <c r="L59" i="1"/>
  <c r="L57" i="1"/>
  <c r="L66" i="1"/>
  <c r="L67" i="1" s="1"/>
  <c r="L68" i="1"/>
  <c r="M53" i="1" l="1"/>
  <c r="S82" i="1"/>
  <c r="L77" i="1"/>
  <c r="M75" i="1"/>
  <c r="N75" i="1" s="1"/>
  <c r="N39" i="1"/>
  <c r="M41" i="1"/>
  <c r="M42" i="1" l="1"/>
  <c r="N41" i="1"/>
  <c r="M43" i="1" l="1"/>
  <c r="T81" i="1"/>
  <c r="M72" i="1"/>
  <c r="N72" i="1" s="1"/>
  <c r="N42" i="1"/>
  <c r="M71" i="1"/>
  <c r="N71" i="1" s="1"/>
  <c r="M64" i="1"/>
  <c r="B23" i="2"/>
  <c r="M46" i="1"/>
  <c r="H5" i="1"/>
  <c r="B25" i="2" l="1"/>
  <c r="B26" i="2"/>
  <c r="M66" i="1"/>
  <c r="M68" i="1"/>
  <c r="N68" i="1" s="1"/>
  <c r="N64" i="1"/>
  <c r="M47" i="1"/>
  <c r="N46" i="1"/>
  <c r="G13" i="1" s="1"/>
  <c r="N43" i="1"/>
  <c r="H6" i="1"/>
  <c r="M48" i="1" l="1"/>
  <c r="N47" i="1"/>
  <c r="M67" i="1"/>
  <c r="N67" i="1" s="1"/>
  <c r="K5" i="1" s="1"/>
  <c r="N66" i="1"/>
  <c r="B27" i="2"/>
  <c r="B28" i="2" l="1"/>
  <c r="M50" i="1"/>
  <c r="N48" i="1"/>
  <c r="M54" i="1" l="1"/>
  <c r="N50" i="1"/>
  <c r="G14" i="1" s="1"/>
  <c r="C23" i="2"/>
  <c r="B32" i="2"/>
  <c r="B29" i="2"/>
  <c r="B33" i="2" l="1"/>
  <c r="C26" i="2"/>
  <c r="C25" i="2"/>
  <c r="M56" i="1"/>
  <c r="N54" i="1"/>
  <c r="M59" i="1" l="1"/>
  <c r="N56" i="1"/>
  <c r="G15" i="1" s="1"/>
  <c r="M57" i="1"/>
  <c r="B39" i="2" s="1"/>
  <c r="C27" i="2"/>
  <c r="B34" i="2"/>
  <c r="C28" i="2" l="1"/>
  <c r="N57" i="1"/>
  <c r="H9" i="1"/>
  <c r="T82" i="1"/>
  <c r="M77" i="1"/>
  <c r="B36" i="2"/>
  <c r="H8" i="1"/>
  <c r="H10" i="1" l="1"/>
  <c r="B41" i="2"/>
  <c r="B43" i="2" s="1"/>
  <c r="B44" i="2" s="1"/>
  <c r="C39" i="2" s="1"/>
  <c r="K6" i="1"/>
  <c r="D23" i="2"/>
  <c r="C29" i="2"/>
  <c r="C32" i="2"/>
  <c r="D25" i="2" l="1"/>
  <c r="D26" i="2"/>
  <c r="C33" i="2"/>
  <c r="C34" i="2" l="1"/>
  <c r="D27" i="2"/>
  <c r="D28" i="2" l="1"/>
  <c r="C36" i="2"/>
  <c r="C41" i="2" l="1"/>
  <c r="C43" i="2" s="1"/>
  <c r="C44" i="2" s="1"/>
  <c r="D39" i="2" s="1"/>
  <c r="D32" i="2"/>
  <c r="E23" i="2"/>
  <c r="D29" i="2"/>
  <c r="E25" i="2" l="1"/>
  <c r="E26" i="2"/>
  <c r="D33" i="2"/>
  <c r="D34" i="2" l="1"/>
  <c r="E27" i="2"/>
  <c r="E28" i="2" l="1"/>
  <c r="D36" i="2"/>
  <c r="D41" i="2" l="1"/>
  <c r="D43" i="2" s="1"/>
  <c r="D44" i="2" s="1"/>
  <c r="E39" i="2" s="1"/>
  <c r="E32" i="2"/>
  <c r="E29" i="2"/>
  <c r="F23" i="2"/>
  <c r="F25" i="2" l="1"/>
  <c r="F26" i="2"/>
  <c r="E33" i="2"/>
  <c r="E34" i="2" s="1"/>
  <c r="E36" i="2" l="1"/>
  <c r="F27" i="2"/>
  <c r="F28" i="2" l="1"/>
  <c r="E41" i="2"/>
  <c r="E43" i="2" s="1"/>
  <c r="E44" i="2" s="1"/>
  <c r="F39" i="2" s="1"/>
  <c r="F32" i="2" l="1"/>
  <c r="G23" i="2"/>
  <c r="F29" i="2"/>
  <c r="G25" i="2" l="1"/>
  <c r="G26" i="2"/>
  <c r="F33" i="2"/>
  <c r="F34" i="2"/>
  <c r="F36" i="2" l="1"/>
  <c r="G27" i="2"/>
  <c r="G28" i="2" s="1"/>
  <c r="G32" i="2" l="1"/>
  <c r="G33" i="2" s="1"/>
  <c r="G34" i="2" s="1"/>
  <c r="G36" i="2" s="1"/>
  <c r="G41" i="2" s="1"/>
  <c r="G43" i="2" s="1"/>
  <c r="G29" i="2"/>
  <c r="H23" i="2"/>
  <c r="F41" i="2"/>
  <c r="F43" i="2" s="1"/>
  <c r="F44" i="2" s="1"/>
  <c r="G39" i="2" s="1"/>
  <c r="G44" i="2" s="1"/>
  <c r="H39" i="2" s="1"/>
  <c r="H26" i="2" l="1"/>
  <c r="H25" i="2"/>
  <c r="H27" i="2" s="1"/>
  <c r="H28" i="2" s="1"/>
  <c r="H32" i="2" l="1"/>
  <c r="I23" i="2"/>
  <c r="H29" i="2"/>
  <c r="I25" i="2" l="1"/>
  <c r="I26" i="2"/>
  <c r="H33" i="2"/>
  <c r="H34" i="2" s="1"/>
  <c r="H36" i="2" s="1"/>
  <c r="H41" i="2" s="1"/>
  <c r="H43" i="2" s="1"/>
  <c r="H44" i="2" s="1"/>
  <c r="I39" i="2" s="1"/>
  <c r="I27" i="2" l="1"/>
  <c r="I28" i="2" s="1"/>
  <c r="I32" i="2" l="1"/>
  <c r="I33" i="2" s="1"/>
  <c r="I34" i="2" s="1"/>
  <c r="I36" i="2" s="1"/>
  <c r="I41" i="2" s="1"/>
  <c r="I43" i="2" s="1"/>
  <c r="I44" i="2" s="1"/>
  <c r="J39" i="2" s="1"/>
  <c r="I29" i="2"/>
  <c r="J23" i="2"/>
  <c r="J25" i="2" l="1"/>
  <c r="J26" i="2"/>
  <c r="J27" i="2" l="1"/>
  <c r="J28" i="2" s="1"/>
  <c r="J32" i="2" l="1"/>
  <c r="J33" i="2" s="1"/>
  <c r="J34" i="2" s="1"/>
  <c r="J36" i="2" s="1"/>
  <c r="J41" i="2" s="1"/>
  <c r="J43" i="2" s="1"/>
  <c r="J44" i="2" s="1"/>
  <c r="K39" i="2" s="1"/>
  <c r="J29" i="2"/>
  <c r="K23" i="2"/>
  <c r="K26" i="2" l="1"/>
  <c r="K25" i="2"/>
  <c r="K27" i="2" s="1"/>
  <c r="K28" i="2"/>
  <c r="K32" i="2" l="1"/>
  <c r="K33" i="2" s="1"/>
  <c r="K34" i="2" s="1"/>
  <c r="K36" i="2" s="1"/>
  <c r="K41" i="2" s="1"/>
  <c r="K43" i="2" s="1"/>
  <c r="K44" i="2" s="1"/>
  <c r="L39" i="2" s="1"/>
  <c r="L23" i="2"/>
  <c r="K29" i="2"/>
  <c r="L26" i="2" l="1"/>
  <c r="L25" i="2"/>
  <c r="L27" i="2" s="1"/>
  <c r="L28" i="2" s="1"/>
  <c r="L32" i="2" l="1"/>
  <c r="L33" i="2" s="1"/>
  <c r="L34" i="2" s="1"/>
  <c r="L36" i="2" s="1"/>
  <c r="L41" i="2" s="1"/>
  <c r="L43" i="2" s="1"/>
  <c r="L44" i="2" s="1"/>
  <c r="M39" i="2" s="1"/>
  <c r="L29" i="2"/>
  <c r="M23" i="2"/>
  <c r="M25" i="2" l="1"/>
  <c r="M26" i="2"/>
  <c r="N26" i="2" s="1"/>
  <c r="O26" i="2" s="1"/>
  <c r="M27" i="2" l="1"/>
  <c r="N25" i="2"/>
  <c r="O25" i="2" s="1"/>
  <c r="M28" i="2" l="1"/>
  <c r="N27" i="2"/>
  <c r="O27" i="2" s="1"/>
  <c r="M29" i="2" l="1"/>
  <c r="N28" i="2"/>
  <c r="M32" i="2"/>
  <c r="O28" i="2"/>
  <c r="M33" i="2" l="1"/>
  <c r="N32" i="2"/>
  <c r="O32" i="2" s="1"/>
  <c r="O29" i="2"/>
  <c r="N29" i="2"/>
  <c r="M34" i="2" l="1"/>
  <c r="N33" i="2"/>
  <c r="O33" i="2" s="1"/>
  <c r="M36" i="2" l="1"/>
  <c r="N34" i="2"/>
  <c r="O34" i="2" s="1"/>
  <c r="M41" i="2" l="1"/>
  <c r="M43" i="2" s="1"/>
  <c r="M44" i="2" s="1"/>
  <c r="N36" i="2"/>
  <c r="O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Ezz eldeen</author>
  </authors>
  <commentList>
    <comment ref="H3" authorId="0" shapeId="0" xr:uid="{2F588F99-5CB1-4FC8-8154-4AC0F5D15D06}">
      <text>
        <r>
          <rPr>
            <b/>
            <sz val="9"/>
            <color indexed="81"/>
            <rFont val="Tahoma"/>
            <family val="2"/>
          </rPr>
          <t>Ahmed:</t>
        </r>
        <r>
          <rPr>
            <sz val="9"/>
            <color indexed="81"/>
            <rFont val="Tahoma"/>
            <family val="2"/>
          </rPr>
          <t xml:space="preserve">
Select  s
cenario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<sst xmlns="http://schemas.openxmlformats.org/spreadsheetml/2006/main" count="536" uniqueCount="247">
  <si>
    <t>KEY ASSUMPTIONS &amp; DRIVERS</t>
  </si>
  <si>
    <t>Assumption</t>
  </si>
  <si>
    <t>Value</t>
  </si>
  <si>
    <t>Notes</t>
  </si>
  <si>
    <t>Starting MRR ($)</t>
  </si>
  <si>
    <t>Current monthly recurring revenue</t>
  </si>
  <si>
    <t>Monthly New Customer Acquisition</t>
  </si>
  <si>
    <t>New customers per month</t>
  </si>
  <si>
    <t>New Customer Growth Rate (MoM)</t>
  </si>
  <si>
    <t>Monthly growth in new customers</t>
  </si>
  <si>
    <t>Average Revenue Per Account (ARPA)</t>
  </si>
  <si>
    <t>Monthly revenue per customer</t>
  </si>
  <si>
    <t>Monthly Gross Churn Rate</t>
  </si>
  <si>
    <t>% customers lost per month</t>
  </si>
  <si>
    <t>Expansion Revenue Rate (MoM)</t>
  </si>
  <si>
    <t>Upsell/expansion % of existing MRR</t>
  </si>
  <si>
    <t>Gross Margin %</t>
  </si>
  <si>
    <t>After hosting &amp; support costs</t>
  </si>
  <si>
    <t>Customer Acquisition Cost (CAC)</t>
  </si>
  <si>
    <t>Blended cost to acquire customer</t>
  </si>
  <si>
    <t>Starting Cash Balance</t>
  </si>
  <si>
    <t>Post Series A cash</t>
  </si>
  <si>
    <t>Monthly Opex Growth Rate</t>
  </si>
  <si>
    <t>Monthly operating expense growth</t>
  </si>
  <si>
    <t>Starting Customers</t>
  </si>
  <si>
    <t>Current customer count</t>
  </si>
  <si>
    <t>Sales Cycle (months)</t>
  </si>
  <si>
    <t>Average time to close deal</t>
  </si>
  <si>
    <t>OPERATING EXPENSES (MONTHLY)</t>
  </si>
  <si>
    <t>Expense Category</t>
  </si>
  <si>
    <t>Monthly ($)</t>
  </si>
  <si>
    <t>Engineering Salaries</t>
  </si>
  <si>
    <t>8 engineers @ $15K avg</t>
  </si>
  <si>
    <t>Sales &amp; Marketing</t>
  </si>
  <si>
    <t>Team + ad spend</t>
  </si>
  <si>
    <t>G&amp;A (Admin, Legal, Finance)</t>
  </si>
  <si>
    <t>Back office costs</t>
  </si>
  <si>
    <t>Customer Success</t>
  </si>
  <si>
    <t>CS team salaries</t>
  </si>
  <si>
    <t>Infrastructure &amp; Tools</t>
  </si>
  <si>
    <t>AWS, software tools</t>
  </si>
  <si>
    <t>Office &amp; Misc</t>
  </si>
  <si>
    <t>Rent, utilities, misc</t>
  </si>
  <si>
    <t>Total Monthly OpEx</t>
  </si>
  <si>
    <t>24-MONTH FINANCIAL PROJECTION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</si>
  <si>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</si>
  <si>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</si>
  <si>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</si>
  <si>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</si>
  <si>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</si>
  <si>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</si>
  <si>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</si>
  <si>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</si>
  <si>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</si>
  <si>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</si>
  <si>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</si>
  <si>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</si>
  <si>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 Total</t>
  </si>
  <si>
    <t>CUSTOMER METRICS</t>
  </si>
  <si>
    <t>Beginning Customers</t>
  </si>
  <si>
    <t>New Customers</t>
  </si>
  <si>
    <t>Churned Customers</t>
  </si>
  <si>
    <t>Ending Customers</t>
  </si>
  <si>
    <t>REVENUE METRICS</t>
  </si>
  <si>
    <t>Beginning MRR</t>
  </si>
  <si>
    <t>New MRR</t>
  </si>
  <si>
    <t>Expansion MRR</t>
  </si>
  <si>
    <t>Churned MRR</t>
  </si>
  <si>
    <t>Net New MRR</t>
  </si>
  <si>
    <t>Ending MRR</t>
  </si>
  <si>
    <t>ARR</t>
  </si>
  <si>
    <t>P&amp;L SUMMARY</t>
  </si>
  <si>
    <t>Revenue (MRR)</t>
  </si>
  <si>
    <t>Cost of Revenue (COGS)</t>
  </si>
  <si>
    <t>Gross Profit</t>
  </si>
  <si>
    <t>Operating Expenses</t>
  </si>
  <si>
    <t>EBITDA</t>
  </si>
  <si>
    <t>-</t>
  </si>
  <si>
    <t>CASH FLOW &amp; RUNWAY</t>
  </si>
  <si>
    <t>Beginning Cash</t>
  </si>
  <si>
    <t>Cash from Operations (EBITDA)</t>
  </si>
  <si>
    <t>CAC Investment</t>
  </si>
  <si>
    <t>Net Cash Flow</t>
  </si>
  <si>
    <t>Ending Cash</t>
  </si>
  <si>
    <t>Monthly Burn Rate</t>
  </si>
  <si>
    <t>KEY SAAS METRICS</t>
  </si>
  <si>
    <t>Unit Economics</t>
  </si>
  <si>
    <t>CAC (Customer Acquisition Cost)</t>
  </si>
  <si>
    <t>ARPA (Avg Revenue Per Account)</t>
  </si>
  <si>
    <t>LTV (Lifetime Value)</t>
  </si>
  <si>
    <t>LTV:CAC Ratio</t>
  </si>
  <si>
    <t>CAC Payback (months)</t>
  </si>
  <si>
    <t>Growth Metrics</t>
  </si>
  <si>
    <t>MRR Growth Rate (MoM)</t>
  </si>
  <si>
    <t>Net Revenue Retention (NRR)</t>
  </si>
  <si>
    <t>Gross Churn Rate</t>
  </si>
  <si>
    <t>Net Churn Rate</t>
  </si>
  <si>
    <t>Quick Ratio</t>
  </si>
  <si>
    <t>Runway (months)</t>
  </si>
  <si>
    <t>EXECUTIVE DASHBOARD</t>
  </si>
  <si>
    <t>Metric</t>
  </si>
  <si>
    <t>Current</t>
  </si>
  <si>
    <t>Key Indicators</t>
  </si>
  <si>
    <t>Status</t>
  </si>
  <si>
    <t>MRR</t>
  </si>
  <si>
    <t>Burn Multiple</t>
  </si>
  <si>
    <t>Customers</t>
  </si>
  <si>
    <t>Gross Margin</t>
  </si>
  <si>
    <t>Monthly Burn</t>
  </si>
  <si>
    <t>Churn Rate</t>
  </si>
  <si>
    <t>Cash Balance</t>
  </si>
  <si>
    <t>Runway (mos)</t>
  </si>
  <si>
    <t>Year 1 Summary</t>
  </si>
  <si>
    <t>Funding Trigger</t>
  </si>
  <si>
    <t>Total Revenue</t>
  </si>
  <si>
    <t>Raise needed when runway &lt; 6 months</t>
  </si>
  <si>
    <t>Total EBITDA</t>
  </si>
  <si>
    <t>Current Status:</t>
  </si>
  <si>
    <t>Net Cash Used</t>
  </si>
  <si>
    <t>Avg Burn Multiple</t>
  </si>
  <si>
    <t>SCENARIO ANALYSIS - SENSITIVITY TABLE</t>
  </si>
  <si>
    <t>Churn Rate Impact on LTV:CAC</t>
  </si>
  <si>
    <t>Growth Rate Impact on Month 12 ARR</t>
  </si>
  <si>
    <t>Monthly Churn</t>
  </si>
  <si>
    <t>LTV</t>
  </si>
  <si>
    <t>LTV:CAC</t>
  </si>
  <si>
    <t>MoM Growth</t>
  </si>
  <si>
    <t>Month 12 ARR</t>
  </si>
  <si>
    <t>CAC Impact on Payback Period</t>
  </si>
  <si>
    <t>ARPA Impact on Unit Economics</t>
  </si>
  <si>
    <t>CAC ($)</t>
  </si>
  <si>
    <t>Payback (mos)</t>
  </si>
  <si>
    <t>ARPA ($)</t>
  </si>
  <si>
    <t>SAAS METRICS DEFINITIONS &amp; BENCHMARKS</t>
  </si>
  <si>
    <t>Definition</t>
  </si>
  <si>
    <t>Formula</t>
  </si>
  <si>
    <t>Benchmark</t>
  </si>
  <si>
    <t>Monthly Recurring Revenue</t>
  </si>
  <si>
    <t>Sum of all recurring monthly revenue</t>
  </si>
  <si>
    <t>Growth &gt; 10% MoM early stage</t>
  </si>
  <si>
    <t>Annual Recurring Revenue</t>
  </si>
  <si>
    <t>MRR × 12</t>
  </si>
  <si>
    <t>Key valuation metric</t>
  </si>
  <si>
    <t>CAC</t>
  </si>
  <si>
    <t>Customer Acquisition Cost</t>
  </si>
  <si>
    <t>Total S&amp;M / New Customers</t>
  </si>
  <si>
    <t>Recover in &lt; 12 months</t>
  </si>
  <si>
    <t>Lifetime Value</t>
  </si>
  <si>
    <t>(ARPA × Gross Margin) / Churn Rate</t>
  </si>
  <si>
    <t>LTV:CAC &gt; 3:1</t>
  </si>
  <si>
    <t>% customers/revenue lost monthly</t>
  </si>
  <si>
    <t>Churned / Beginning of period</t>
  </si>
  <si>
    <t>&lt; 2% monthly (B2B SaaS)</t>
  </si>
  <si>
    <t>NRR</t>
  </si>
  <si>
    <t>Net Revenue Retention</t>
  </si>
  <si>
    <t>(MRR + Expansion - Churn) / Beginning MRR</t>
  </si>
  <si>
    <t>&gt; 100% (ideally &gt; 120%)</t>
  </si>
  <si>
    <t>Growth efficiency metric</t>
  </si>
  <si>
    <t>(New MRR + Expansion) / Churned MRR</t>
  </si>
  <si>
    <t>&gt; 4 is excellent</t>
  </si>
  <si>
    <t>Burn Rate</t>
  </si>
  <si>
    <t>Monthly cash consumption</t>
  </si>
  <si>
    <t>Starting Cash - Ending Cash</t>
  </si>
  <si>
    <t>Monitor vs. growth</t>
  </si>
  <si>
    <t>Runway</t>
  </si>
  <si>
    <t>Months until cash runs out</t>
  </si>
  <si>
    <t>Cash Balance / Monthly Burn</t>
  </si>
  <si>
    <t>&gt; 18 months ideal</t>
  </si>
  <si>
    <t>Efficiency of growth spend</t>
  </si>
  <si>
    <t>Net Burn / Net New ARR</t>
  </si>
  <si>
    <t>&lt; 1.5x excellent, &lt; 2x good</t>
  </si>
  <si>
    <t>Revenue after COGS</t>
  </si>
  <si>
    <t>(Revenue - COGS) / Revenue</t>
  </si>
  <si>
    <t>&gt; 70% for SaaS</t>
  </si>
  <si>
    <t>CAC Payback</t>
  </si>
  <si>
    <t>Months to recover CAC</t>
  </si>
  <si>
    <t>CAC / (ARPA × Gross Margin)</t>
  </si>
  <si>
    <t>&lt; 12 months</t>
  </si>
  <si>
    <t>Rule of 40</t>
  </si>
  <si>
    <t>Growth + Profitability balance</t>
  </si>
  <si>
    <t>Revenue Growth % + EBITDA Margin %</t>
  </si>
  <si>
    <t>&gt; 40% combined</t>
  </si>
  <si>
    <t>Cash Balance (÷100)</t>
  </si>
  <si>
    <t>YEAR 2 PROJECTION (MONTHS 13-24) - POST SERIES B</t>
  </si>
  <si>
    <t>SERIES B FUNDING SCENARIO</t>
  </si>
  <si>
    <t>Series B Raise</t>
  </si>
  <si>
    <t>Target raise amount</t>
  </si>
  <si>
    <t>Pre-Money Valuation</t>
  </si>
  <si>
    <t>~14x forward ARR</t>
  </si>
  <si>
    <t>Dilution %</t>
  </si>
  <si>
    <t>Investor ownership</t>
  </si>
  <si>
    <t>New Customer Growth (Y2)</t>
  </si>
  <si>
    <t>Slower growth rate (maturity)</t>
  </si>
  <si>
    <t>Churn Improvement</t>
  </si>
  <si>
    <t>Improved retention efforts</t>
  </si>
  <si>
    <t>OpEx Growth Rate (Y2)</t>
  </si>
  <si>
    <t>More efficient spending</t>
  </si>
  <si>
    <t>ARPA Growth</t>
  </si>
  <si>
    <t>Pricing power/upsells</t>
  </si>
  <si>
    <t>CAC Efficiency Gain</t>
  </si>
  <si>
    <t>5% CAC reduction factor</t>
  </si>
  <si>
    <t>YEAR 2 MONTHLY PROJECTION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</si>
  <si>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</si>
  <si>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</si>
  <si>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</si>
  <si>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</si>
  <si>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</si>
  <si>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</si>
  <si>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</si>
  <si>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</si>
  <si>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</si>
  <si>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</si>
  <si>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</si>
  <si>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</si>
  <si>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Year 2 Total</t>
  </si>
  <si>
    <t>Cumulative</t>
  </si>
  <si>
    <t>Series B Funding</t>
  </si>
  <si>
    <t>Table of Content</t>
  </si>
  <si>
    <t xml:space="preserve"> Page</t>
  </si>
  <si>
    <t>Base Case</t>
  </si>
  <si>
    <t>Downside case</t>
  </si>
  <si>
    <t>Upside case</t>
  </si>
  <si>
    <t>Actuals --&gt;</t>
  </si>
  <si>
    <t>Forecast --&gt;</t>
  </si>
  <si>
    <t>RateGain</t>
  </si>
  <si>
    <t>Unlock New Revenue Everyday</t>
  </si>
  <si>
    <t>Live Case</t>
  </si>
  <si>
    <t>Cases</t>
  </si>
  <si>
    <t>Indian Rupee ₹</t>
  </si>
  <si>
    <t>Monthly (₹)</t>
  </si>
  <si>
    <t>Starting MRR ((₹)</t>
  </si>
  <si>
    <t>Monthly ((₹)</t>
  </si>
  <si>
    <t>Starting MRR (₹)</t>
  </si>
  <si>
    <t>P&amp;L  SUMMARY</t>
  </si>
  <si>
    <t>TOTAL</t>
  </si>
  <si>
    <t>12 Months Summary</t>
  </si>
  <si>
    <t>Net Cash  Surplus (Used)</t>
  </si>
  <si>
    <t>Runway (month)</t>
  </si>
  <si>
    <t>Scenario Selector</t>
  </si>
  <si>
    <t>KPIs</t>
  </si>
  <si>
    <t>Base</t>
  </si>
  <si>
    <t>Downside</t>
  </si>
  <si>
    <t>Upside</t>
  </si>
  <si>
    <t>8 engineers @ ₹11.9K avg</t>
  </si>
  <si>
    <t>8 engineers @ ₹12.5K avg</t>
  </si>
  <si>
    <t>8 engineers @ ₹11.3K avg</t>
  </si>
  <si>
    <t>Scenario Analysis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</si>
</sst>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&quot;RSD&quot;#,##0"/>
    <numFmt numFmtId="165" formatCode="0.0%"/>
    <numFmt numFmtId="166" formatCode="0.0\x"/>
    <numFmt numFmtId="167" formatCode="0.0"/>
    <numFmt numFmtId="168" formatCode="_-[$$-C09]* #,##0_-;\-[$$-C09]* #,##0_-;_-[$$-C09]* &quot;-&quot;_-;_-@_-"/>
    <numFmt numFmtId="169" formatCode="#,##0.0\ &quot;RSD&quot;"/>
    <numFmt numFmtId="170" formatCode="\$#,##0;\(\$#,##0\)\ \ "/>
    <numFmt numFmtId="171" formatCode="\$#,##0;\(\$#,##0\)"/>
    <numFmt numFmtId="173" formatCode="_-* #,##0_-;\(#,##0\)_-;_-* &quot;-&quot;_-;_-@_-"/>
    <numFmt numFmtId="174" formatCode="[$-409]dd/mmm/yy;@"/>
    <numFmt numFmtId="176" formatCode="\ #,##0.00"/>
    <numFmt numFmtId="188" formatCode="#,##0;\(#,##0\)"/>
    <numFmt numFmtId="189" formatCode="0&quot;x&quot;"/>
    <numFmt numFmtId="190" formatCode="#,##0.0"/>
    <numFmt numFmtId="191" formatCode="\₹\ ###,##0;[Red]\(\₹\ ###,##0\)"/>
    <numFmt numFmtId="192" formatCode="###,##0;[Red]\(\₹\ ###,##0\)"/>
  </numFmts>
  <fonts count="3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0"/>
      <name val="Bookman"/>
      <family val="1"/>
    </font>
    <font>
      <i/>
      <sz val="10"/>
      <color theme="0"/>
      <name val="Arial Narrow"/>
      <family val="2"/>
    </font>
    <font>
      <sz val="26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u/>
      <sz val="16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C0000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521A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43" fontId="18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2" fillId="3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0" borderId="0" xfId="0" applyFont="1"/>
    <xf numFmtId="3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5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2" fillId="5" borderId="0" xfId="0" applyNumberFormat="1" applyFont="1" applyFill="1"/>
    <xf numFmtId="0" fontId="0" fillId="3" borderId="0" xfId="0" applyFill="1"/>
    <xf numFmtId="0" fontId="7" fillId="0" borderId="0" xfId="0" applyFont="1"/>
    <xf numFmtId="0" fontId="8" fillId="0" borderId="0" xfId="0" applyFont="1"/>
    <xf numFmtId="165" fontId="0" fillId="5" borderId="0" xfId="0" applyNumberFormat="1" applyFill="1"/>
    <xf numFmtId="164" fontId="0" fillId="5" borderId="0" xfId="0" applyNumberFormat="1" applyFill="1"/>
    <xf numFmtId="166" fontId="0" fillId="5" borderId="0" xfId="0" applyNumberFormat="1" applyFill="1"/>
    <xf numFmtId="167" fontId="0" fillId="5" borderId="0" xfId="0" applyNumberFormat="1" applyFill="1"/>
    <xf numFmtId="164" fontId="2" fillId="3" borderId="0" xfId="0" applyNumberFormat="1" applyFont="1" applyFill="1"/>
    <xf numFmtId="167" fontId="2" fillId="3" borderId="0" xfId="0" applyNumberFormat="1" applyFont="1" applyFill="1"/>
    <xf numFmtId="166" fontId="2" fillId="3" borderId="0" xfId="0" applyNumberFormat="1" applyFont="1" applyFill="1"/>
    <xf numFmtId="0" fontId="9" fillId="0" borderId="0" xfId="0" applyFont="1"/>
    <xf numFmtId="168" fontId="0" fillId="0" borderId="0" xfId="0" applyNumberFormat="1"/>
    <xf numFmtId="169" fontId="0" fillId="0" borderId="0" xfId="0" applyNumberFormat="1"/>
    <xf numFmtId="170" fontId="5" fillId="0" borderId="0" xfId="0" applyNumberFormat="1" applyFont="1"/>
    <xf numFmtId="170" fontId="2" fillId="0" borderId="0" xfId="0" applyNumberFormat="1" applyFont="1"/>
    <xf numFmtId="171" fontId="0" fillId="0" borderId="0" xfId="0" applyNumberFormat="1"/>
    <xf numFmtId="171" fontId="0" fillId="0" borderId="0" xfId="0" applyNumberFormat="1" applyAlignment="1">
      <alignment horizontal="center"/>
    </xf>
    <xf numFmtId="171" fontId="2" fillId="0" borderId="0" xfId="0" applyNumberFormat="1" applyFont="1"/>
    <xf numFmtId="171" fontId="0" fillId="5" borderId="0" xfId="0" applyNumberFormat="1" applyFill="1"/>
    <xf numFmtId="171" fontId="5" fillId="0" borderId="0" xfId="0" applyNumberFormat="1" applyFont="1"/>
    <xf numFmtId="171" fontId="9" fillId="0" borderId="0" xfId="0" applyNumberFormat="1" applyFont="1"/>
    <xf numFmtId="0" fontId="10" fillId="2" borderId="0" xfId="0" applyFont="1" applyFill="1"/>
    <xf numFmtId="0" fontId="11" fillId="0" borderId="0" xfId="0" applyFont="1"/>
    <xf numFmtId="0" fontId="0" fillId="0" borderId="1" xfId="0" applyBorder="1"/>
    <xf numFmtId="0" fontId="13" fillId="0" borderId="0" xfId="0" applyFont="1"/>
    <xf numFmtId="37" fontId="15" fillId="6" borderId="0" xfId="0" applyNumberFormat="1" applyFont="1" applyFill="1" applyAlignment="1">
      <alignment vertical="top"/>
    </xf>
    <xf numFmtId="37" fontId="16" fillId="7" borderId="0" xfId="0" applyNumberFormat="1" applyFont="1" applyFill="1" applyAlignment="1">
      <alignment vertical="top"/>
    </xf>
    <xf numFmtId="37" fontId="17" fillId="7" borderId="0" xfId="0" applyNumberFormat="1" applyFont="1" applyFill="1" applyAlignment="1">
      <alignment vertical="top"/>
    </xf>
    <xf numFmtId="37" fontId="16" fillId="6" borderId="0" xfId="0" applyNumberFormat="1" applyFont="1" applyFill="1" applyAlignment="1">
      <alignment vertical="top"/>
    </xf>
    <xf numFmtId="37" fontId="17" fillId="6" borderId="0" xfId="0" applyNumberFormat="1" applyFont="1" applyFill="1" applyAlignment="1">
      <alignment vertical="top"/>
    </xf>
    <xf numFmtId="37" fontId="17" fillId="6" borderId="0" xfId="0" applyNumberFormat="1" applyFont="1" applyFill="1" applyAlignment="1">
      <alignment horizontal="right" vertical="top"/>
    </xf>
    <xf numFmtId="173" fontId="19" fillId="6" borderId="0" xfId="2" applyNumberFormat="1" applyFont="1" applyFill="1" applyAlignment="1" applyProtection="1">
      <alignment horizontal="left"/>
      <protection locked="0"/>
    </xf>
    <xf numFmtId="174" fontId="17" fillId="7" borderId="0" xfId="0" applyNumberFormat="1" applyFont="1" applyFill="1" applyAlignment="1">
      <alignment horizontal="right"/>
    </xf>
    <xf numFmtId="174" fontId="17" fillId="6" borderId="0" xfId="0" applyNumberFormat="1" applyFont="1" applyFill="1" applyAlignment="1">
      <alignment horizontal="right"/>
    </xf>
    <xf numFmtId="176" fontId="0" fillId="0" borderId="0" xfId="0" applyNumberFormat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0" fillId="9" borderId="0" xfId="0" applyFont="1" applyFill="1"/>
    <xf numFmtId="0" fontId="21" fillId="9" borderId="0" xfId="0" applyFont="1" applyFill="1"/>
    <xf numFmtId="0" fontId="22" fillId="0" borderId="0" xfId="0" applyFont="1"/>
    <xf numFmtId="0" fontId="23" fillId="0" borderId="0" xfId="0" applyFont="1"/>
    <xf numFmtId="0" fontId="0" fillId="10" borderId="0" xfId="0" applyFill="1"/>
    <xf numFmtId="0" fontId="13" fillId="10" borderId="0" xfId="0" applyFont="1" applyFill="1"/>
    <xf numFmtId="9" fontId="5" fillId="0" borderId="0" xfId="0" applyNumberFormat="1" applyFont="1"/>
    <xf numFmtId="0" fontId="0" fillId="0" borderId="0" xfId="0" applyNumberFormat="1"/>
    <xf numFmtId="3" fontId="0" fillId="0" borderId="0" xfId="0" applyNumberFormat="1" applyFont="1"/>
    <xf numFmtId="188" fontId="5" fillId="0" borderId="0" xfId="0" applyNumberFormat="1" applyFont="1"/>
    <xf numFmtId="188" fontId="0" fillId="0" borderId="0" xfId="0" applyNumberFormat="1"/>
    <xf numFmtId="0" fontId="14" fillId="11" borderId="4" xfId="0" applyFont="1" applyFill="1" applyBorder="1"/>
    <xf numFmtId="188" fontId="5" fillId="0" borderId="2" xfId="0" applyNumberFormat="1" applyFont="1" applyBorder="1"/>
    <xf numFmtId="188" fontId="5" fillId="5" borderId="0" xfId="0" applyNumberFormat="1" applyFont="1" applyFill="1"/>
    <xf numFmtId="188" fontId="0" fillId="5" borderId="0" xfId="0" applyNumberFormat="1" applyFill="1"/>
    <xf numFmtId="9" fontId="0" fillId="0" borderId="0" xfId="0" applyNumberFormat="1"/>
    <xf numFmtId="189" fontId="0" fillId="0" borderId="0" xfId="0" applyNumberFormat="1"/>
    <xf numFmtId="189" fontId="5" fillId="0" borderId="0" xfId="0" applyNumberFormat="1" applyFont="1"/>
    <xf numFmtId="190" fontId="5" fillId="0" borderId="2" xfId="0" applyNumberFormat="1" applyFont="1" applyBorder="1"/>
    <xf numFmtId="190" fontId="0" fillId="0" borderId="2" xfId="0" applyNumberFormat="1" applyBorder="1"/>
    <xf numFmtId="9" fontId="5" fillId="0" borderId="0" xfId="0" applyNumberFormat="1" applyFont="1" applyAlignment="1">
      <alignment horizontal="center"/>
    </xf>
    <xf numFmtId="189" fontId="5" fillId="0" borderId="2" xfId="0" applyNumberFormat="1" applyFont="1" applyBorder="1"/>
    <xf numFmtId="0" fontId="2" fillId="12" borderId="0" xfId="0" applyFont="1" applyFill="1"/>
    <xf numFmtId="174" fontId="16" fillId="6" borderId="0" xfId="0" applyNumberFormat="1" applyFont="1" applyFill="1" applyAlignment="1">
      <alignment horizontal="right"/>
    </xf>
    <xf numFmtId="3" fontId="25" fillId="0" borderId="2" xfId="0" applyNumberFormat="1" applyFont="1" applyBorder="1"/>
    <xf numFmtId="3" fontId="2" fillId="0" borderId="2" xfId="0" applyNumberFormat="1" applyFont="1" applyBorder="1"/>
    <xf numFmtId="188" fontId="2" fillId="0" borderId="2" xfId="0" applyNumberFormat="1" applyFont="1" applyBorder="1"/>
    <xf numFmtId="188" fontId="2" fillId="5" borderId="0" xfId="0" applyNumberFormat="1" applyFont="1" applyFill="1"/>
    <xf numFmtId="0" fontId="2" fillId="0" borderId="0" xfId="0" applyFont="1" applyAlignment="1">
      <alignment horizontal="right"/>
    </xf>
    <xf numFmtId="188" fontId="2" fillId="0" borderId="0" xfId="0" applyNumberFormat="1" applyFont="1"/>
    <xf numFmtId="9" fontId="2" fillId="0" borderId="0" xfId="0" applyNumberFormat="1" applyFont="1"/>
    <xf numFmtId="189" fontId="2" fillId="0" borderId="0" xfId="0" applyNumberFormat="1" applyFont="1"/>
    <xf numFmtId="190" fontId="2" fillId="0" borderId="2" xfId="0" applyNumberFormat="1" applyFont="1" applyBorder="1"/>
    <xf numFmtId="165" fontId="2" fillId="0" borderId="0" xfId="0" applyNumberFormat="1" applyFont="1"/>
    <xf numFmtId="167" fontId="2" fillId="0" borderId="0" xfId="0" applyNumberFormat="1" applyFont="1"/>
    <xf numFmtId="9" fontId="0" fillId="0" borderId="0" xfId="0" applyNumberFormat="1" applyFont="1"/>
    <xf numFmtId="165" fontId="0" fillId="0" borderId="0" xfId="0" applyNumberFormat="1" applyFont="1"/>
    <xf numFmtId="0" fontId="14" fillId="0" borderId="0" xfId="0" applyFont="1"/>
    <xf numFmtId="191" fontId="0" fillId="0" borderId="0" xfId="0" applyNumberFormat="1"/>
    <xf numFmtId="191" fontId="2" fillId="3" borderId="0" xfId="0" applyNumberFormat="1" applyFont="1" applyFill="1"/>
    <xf numFmtId="0" fontId="26" fillId="2" borderId="0" xfId="0" applyFont="1" applyFill="1"/>
    <xf numFmtId="192" fontId="0" fillId="0" borderId="0" xfId="0" applyNumberFormat="1"/>
    <xf numFmtId="192" fontId="5" fillId="0" borderId="0" xfId="0" applyNumberFormat="1" applyFont="1"/>
    <xf numFmtId="0" fontId="5" fillId="0" borderId="0" xfId="0" applyFont="1"/>
    <xf numFmtId="0" fontId="29" fillId="0" borderId="0" xfId="0" applyFont="1"/>
    <xf numFmtId="0" fontId="30" fillId="0" borderId="0" xfId="3" applyFont="1"/>
    <xf numFmtId="191" fontId="0" fillId="0" borderId="0" xfId="0" applyNumberFormat="1" applyAlignment="1">
      <alignment horizontal="left"/>
    </xf>
    <xf numFmtId="18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0" fontId="5" fillId="0" borderId="0" xfId="0" applyNumberFormat="1" applyFont="1"/>
    <xf numFmtId="0" fontId="2" fillId="10" borderId="3" xfId="0" applyFont="1" applyFill="1" applyBorder="1"/>
    <xf numFmtId="0" fontId="12" fillId="0" borderId="0" xfId="1" applyFont="1" applyAlignment="1" applyProtection="1">
      <alignment horizontal="left"/>
      <protection locked="0"/>
    </xf>
  </cellXfs>
  <cellStyles count="4">
    <cellStyle name="Comma 2" xfId="2" xr:uid="{16FB8317-0DCB-4526-8F3A-87DADAC21B3E}"/>
    <cellStyle name="Hyperlink" xfId="3" builtinId="8"/>
    <cellStyle name="Normal" xfId="0" builtinId="0"/>
    <cellStyle name="Normal 2" xfId="1" xr:uid="{434939A4-0676-4699-AD26-B347E176C845}"/>
  </cellStyles>
  <dxfs count="39"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7521A3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Microsoft New Tai Lue" panose="020B0502040204020203" pitchFamily="34" charset="0"/>
                <a:ea typeface="+mn-ea"/>
                <a:cs typeface="Microsoft New Tai Lue" panose="020B0502040204020203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Microsoft New Tai Lue" panose="020B0502040204020203" pitchFamily="34" charset="0"/>
                <a:cs typeface="Microsoft New Tai Lue" panose="020B0502040204020203" pitchFamily="34" charset="0"/>
              </a:rPr>
              <a:t>MRR Growth vs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Microsoft New Tai Lue" panose="020B0502040204020203" pitchFamily="34" charset="0"/>
              <a:ea typeface="+mn-ea"/>
              <a:cs typeface="Microsoft New Tai Lue" panose="020B0502040204020203" pitchFamily="34" charset="0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'SaaS Financial Model'!$H$81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'SaaS Financial Model'!$I$80:$T$80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'SaaS Financial Model'!$I$81:$T$81</c:f>
              <c:numCache>
                <c:formatCode>General</c:formatCode>
                <c:ptCount val="12"/>
                <c:pt idx="0">
                  <c:v>62000</c:v>
                </c:pt>
                <c:pt idx="1">
                  <c:v>74880</c:v>
                </c:pt>
                <c:pt idx="2">
                  <c:v>88631.2</c:v>
                </c:pt>
                <c:pt idx="3">
                  <c:v>103244.88799999999</c:v>
                </c:pt>
                <c:pt idx="4">
                  <c:v>118712.43912</c:v>
                </c:pt>
                <c:pt idx="5">
                  <c:v>135525.3147288</c:v>
                </c:pt>
                <c:pt idx="6">
                  <c:v>153670.06158151201</c:v>
                </c:pt>
                <c:pt idx="7">
                  <c:v>173133.36096569689</c:v>
                </c:pt>
                <c:pt idx="8">
                  <c:v>193902.02735603991</c:v>
                </c:pt>
                <c:pt idx="9">
                  <c:v>216463.00708247951</c:v>
                </c:pt>
                <c:pt idx="10">
                  <c:v>240798.37701165472</c:v>
                </c:pt>
                <c:pt idx="11">
                  <c:v>266890.3932415382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4-C84F-8886-4A06669FD97A}"/>
            </c:ext>
          </c:extLst>
        </c:ser>
        <c:ser>
          <c:idx val="1"/>
          <c:order val="1"/>
          <c:tx>
            <c:strRef>
              <c:f>'SaaS Financial Model'!$H$82</c:f>
              <c:strCache>
                <c:ptCount val="1"/>
                <c:pt idx="0">
                  <c:v>Cash Balance (÷100)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'SaaS Financial Model'!$I$80:$T$80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'SaaS Financial Model'!$I$82:$T$82</c:f>
              <c:numCache>
                <c:formatCode>\$#,##0;\(\$#,##0\)</c:formatCode>
                <c:ptCount val="12"/>
                <c:pt idx="0">
                  <c:v>25646</c:v>
                </c:pt>
                <c:pt idx="1">
                  <c:v>21149.54</c:v>
                </c:pt>
                <c:pt idx="2">
                  <c:v>16515.024600000001</c:v>
                </c:pt>
                <c:pt idx="3">
                  <c:v>11746.711754</c:v>
                </c:pt>
                <c:pt idx="4">
                  <c:v>6848.7111584600007</c:v>
                </c:pt>
                <c:pt idx="5">
                  <c:v>1748.9825645354001</c:v>
                </c:pt>
                <c:pt idx="6">
                  <c:v>-3544.7059879201538</c:v>
                </c:pt>
                <c:pt idx="7">
                  <c:v>-9024.7796166554581</c:v>
                </c:pt>
                <c:pt idx="8">
                  <c:v>-14683.858129761846</c:v>
                </c:pt>
                <c:pt idx="9">
                  <c:v>-20590.757647015358</c:v>
                </c:pt>
                <c:pt idx="10">
                  <c:v>-26734.53231205287</c:v>
                </c:pt>
                <c:pt idx="11">
                  <c:v>-33104.475697685237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4-C84F-8886-4A06669F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1616175"/>
        <c:axId val="1212809935"/>
      </c:barChart>
      <c:catAx>
        <c:axId val="15016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212809935"/>
        <c:crosses val="autoZero"/>
        <c:auto val="1"/>
        <c:lblAlgn val="ctr"/>
        <c:lblOffset val="100"/>
        <c:noMultiLvlLbl val="0"/>
      </c:catAx>
      <c:valAx>
        <c:axId val="12128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50161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83</xdr:row>
      <xdr:rowOff>-1</xdr:rowOff>
    </xdr:from>
    <xdr:to>
      <xdr:col>11</xdr:col>
      <xdr:colOff>471714</xdr:colOff>
      <xdr:row>97</xdr:row>
      <xdr:rowOff>163284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E7314-DD0C-B89C-0D32-6A47C5437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35383D-2522-6346-9AD7-D8B82574F091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12B2-2FF3-4C41-8182-45FB13BAD28C}">
  <sheetPr codeName="Sheet1"/>
  <dimension ref="A1:BV79"/>
  <sheetViews>
    <sheetView showGridLines="0" zoomScale="108" workbookViewId="0">
      <selection activeCell="E14" sqref="E14"/>
    </sheetView>
  </sheetViews>
  <sheetFormatPr defaultRowHeight="15.6"/>
  <sheetData>
    <row r="1" spans="1:34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</row>
    <row r="2" spans="1:34" ht="33.6">
      <c r="A2" s="57"/>
      <c r="B2" s="57"/>
      <c r="C2" s="57"/>
      <c r="D2" s="58" t="s">
        <v>224</v>
      </c>
      <c r="E2" s="57"/>
      <c r="F2" s="57"/>
      <c r="G2" s="57"/>
      <c r="H2" s="57"/>
      <c r="I2" s="57"/>
      <c r="J2" s="57"/>
      <c r="K2" s="59" t="s">
        <v>225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</row>
    <row r="3" spans="1:34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1:34">
      <c r="A4" s="57"/>
      <c r="B4" s="57"/>
      <c r="C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</row>
    <row r="5" spans="1:34" ht="25.8">
      <c r="A5" s="57"/>
      <c r="B5" s="57"/>
      <c r="C5" s="57"/>
      <c r="E5" s="42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</row>
    <row r="6" spans="1:34">
      <c r="A6" s="57"/>
      <c r="B6" s="57"/>
      <c r="C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</row>
    <row r="7" spans="1:34" ht="28.2">
      <c r="A7" s="57"/>
      <c r="B7" s="57"/>
      <c r="C7" s="57"/>
      <c r="E7" s="109" t="s">
        <v>246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</row>
    <row r="8" spans="1:34">
      <c r="A8" s="57"/>
      <c r="B8" s="57"/>
      <c r="C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34">
      <c r="A9" s="57"/>
      <c r="B9" s="57"/>
      <c r="C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 spans="1:34">
      <c r="A10" s="57"/>
      <c r="B10" s="57"/>
      <c r="C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</row>
    <row r="11" spans="1:34" ht="21.6" thickBot="1">
      <c r="A11" s="57"/>
      <c r="B11" s="57"/>
      <c r="C11" s="57"/>
      <c r="E11" s="44" t="s">
        <v>217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</row>
    <row r="12" spans="1:34">
      <c r="A12" s="57"/>
      <c r="B12" s="57"/>
      <c r="C12" s="57"/>
      <c r="E12" s="43"/>
      <c r="F12" s="43"/>
      <c r="G12" s="43"/>
      <c r="H12" s="43"/>
      <c r="I12" s="43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</row>
    <row r="13" spans="1:34" ht="18">
      <c r="A13" s="57"/>
      <c r="B13" s="57"/>
      <c r="C13" s="57"/>
      <c r="E13" s="103" t="str" cm="1">
        <f t="array" aca="1" ref="E13" ca="1">RIGHT(CELL("filename",A1),LEN(CELL("filename",A1))-FIND("]",CELL("filename",A1)))</f>
        <v>Cover Page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 spans="1:34" ht="18">
      <c r="A14" s="57"/>
      <c r="B14" s="57"/>
      <c r="C14" s="57"/>
      <c r="E14" s="103" t="str" cm="1">
        <f t="array" aca="1" ref="E14" ca="1">RIGHT(CELL("filename",'Exeutive Dashboard'!A2),LEN(CELL("filename",'Exeutive Dashboard'!A2))-FIND("]",CELL("filename",'Exeutive Dashboard'!A2)))</f>
        <v>Exeutive Dashboard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 spans="1:34" ht="18">
      <c r="A15" s="57"/>
      <c r="B15" s="57"/>
      <c r="C15" s="57"/>
      <c r="E15" s="103" t="str" cm="1">
        <f t="array" aca="1" ref="E15" ca="1">RIGHT(CELL("filename",'12 Month Rolling Forecast'!A3),LEN(CELL("filename",'12 Month Rolling Forecast'!A3))-FIND("]",CELL("filename",'12 Month Rolling Forecast'!A4)))</f>
        <v>12 Month Rolling Forecast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 spans="1:34" ht="18">
      <c r="A16" s="57"/>
      <c r="B16" s="57"/>
      <c r="C16" s="57"/>
      <c r="E16" s="103" t="str" cm="1">
        <f t="array" aca="1" ref="E16" ca="1">RIGHT(CELL("filename",'Assumptions &amp; Data'!A1),LEN(CELL("filename",'Assumptions &amp; Data'!A1))-FIND("]",(CELL("filename",'Assumptions &amp; Data'!A1))))</f>
        <v>Assumptions &amp; Data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 spans="1:34">
      <c r="A17" s="57"/>
      <c r="B17" s="57"/>
      <c r="C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 spans="1:34">
      <c r="A18" s="57"/>
      <c r="B18" s="57"/>
      <c r="C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 spans="1:34">
      <c r="A19" s="57"/>
      <c r="B19" s="57"/>
      <c r="C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</row>
    <row r="20" spans="1:34">
      <c r="A20" s="57"/>
      <c r="B20" s="57"/>
      <c r="C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</row>
    <row r="21" spans="1:34">
      <c r="A21" s="57"/>
      <c r="B21" s="57"/>
      <c r="C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>
      <c r="A22" s="57"/>
      <c r="B22" s="57"/>
      <c r="C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3" spans="1:34">
      <c r="A23" s="57"/>
      <c r="B23" s="57"/>
      <c r="C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</row>
    <row r="24" spans="1:34">
      <c r="A24" s="57"/>
      <c r="B24" s="57"/>
      <c r="C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 spans="1:34">
      <c r="A25" s="57"/>
      <c r="B25" s="57"/>
      <c r="C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>
      <c r="A26" s="57"/>
      <c r="B26" s="57"/>
      <c r="C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</row>
    <row r="27" spans="1:34">
      <c r="A27" s="57"/>
      <c r="B27" s="57"/>
      <c r="C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spans="1:34">
      <c r="A28" s="57"/>
      <c r="B28" s="57"/>
      <c r="C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 spans="1:34">
      <c r="A29" s="57"/>
      <c r="B29" s="57"/>
      <c r="C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</row>
    <row r="30" spans="1:34">
      <c r="A30" s="57"/>
      <c r="B30" s="57"/>
      <c r="C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</row>
    <row r="31" spans="1:34">
      <c r="A31" s="57"/>
      <c r="B31" s="57"/>
      <c r="C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</row>
    <row r="32" spans="1:34">
      <c r="A32" s="57"/>
      <c r="B32" s="57"/>
      <c r="C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</row>
    <row r="33" spans="1:34">
      <c r="A33" s="57"/>
      <c r="B33" s="57"/>
      <c r="C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>
      <c r="A34" s="57"/>
      <c r="B34" s="57"/>
      <c r="C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>
      <c r="A35" s="57"/>
      <c r="B35" s="57"/>
      <c r="C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>
      <c r="A36" s="57"/>
      <c r="B36" s="57"/>
      <c r="C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>
      <c r="A37" s="57"/>
      <c r="B37" s="57"/>
      <c r="C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>
      <c r="A38" s="57"/>
      <c r="B38" s="57"/>
      <c r="C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</row>
    <row r="39" spans="1:34">
      <c r="A39" s="57"/>
      <c r="B39" s="57"/>
      <c r="C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</row>
    <row r="40" spans="1:34">
      <c r="A40" s="57"/>
      <c r="B40" s="57"/>
      <c r="C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</row>
    <row r="41" spans="1:34">
      <c r="A41" s="57"/>
      <c r="B41" s="57"/>
      <c r="C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</row>
    <row r="42" spans="1:34">
      <c r="A42" s="57"/>
      <c r="B42" s="57"/>
      <c r="C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</row>
    <row r="43" spans="1:34">
      <c r="A43" s="57"/>
      <c r="B43" s="57"/>
      <c r="C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</row>
    <row r="44" spans="1:34">
      <c r="A44" s="57"/>
      <c r="B44" s="57"/>
      <c r="C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</row>
    <row r="45" spans="1:34">
      <c r="A45" s="57"/>
      <c r="B45" s="57"/>
      <c r="C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</row>
    <row r="79" spans="74:74">
      <c r="BV79" t="s">
        <v>218</v>
      </c>
    </row>
  </sheetData>
  <hyperlinks>
    <hyperlink ref="E13" location="'Cover Page'!A1" display="'Cover Page'!A1" xr:uid="{E593A69A-88E1-453D-A014-EEB468898983}"/>
    <hyperlink ref="E14" location="'Exeutive Dashboard'!A1" display="'Exeutive Dashboard'!A1" xr:uid="{707254D3-CA09-4045-8F83-EB320F91FED0}"/>
    <hyperlink ref="E15" location="'12 Month Rolling Forecast'!A1" display="'12 Month Rolling Forecast'!A1" xr:uid="{C4BFE26C-915B-4FF1-B683-56C5F840716A}"/>
    <hyperlink ref="E16" location="'Assumptions &amp; Data'!A1" display="'Assumptions &amp; Data'!A1" xr:uid="{C2DE20A9-622D-424B-B3BC-B28D3DE3E45C}"/>
  </hyperlinks>
  <pageMargins left="0.7" right="0.7" top="0.75" bottom="0.75" header="0.3" footer="0.3"/>
  <ignoredErrors>
    <ignoredError sqref="E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3E43-ADD9-4C0E-8C07-62BCEAE6BE7E}">
  <sheetPr codeName="Sheet2"/>
  <dimension ref="A1:I19"/>
  <sheetViews>
    <sheetView showGridLines="0" tabSelected="1" topLeftCell="A2" zoomScale="77" zoomScaleNormal="67" workbookViewId="0">
      <selection activeCell="I3" sqref="I3"/>
    </sheetView>
  </sheetViews>
  <sheetFormatPr defaultRowHeight="15.6"/>
  <cols>
    <col min="1" max="1" width="21.69921875" customWidth="1"/>
    <col min="2" max="3" width="14" bestFit="1" customWidth="1"/>
    <col min="5" max="5" width="34.3984375" bestFit="1" customWidth="1"/>
    <col min="6" max="6" width="15.5" bestFit="1" customWidth="1"/>
    <col min="8" max="8" width="19.09765625" bestFit="1" customWidth="1"/>
    <col min="9" max="9" width="9.09765625" bestFit="1" customWidth="1"/>
  </cols>
  <sheetData>
    <row r="1" spans="1:9" hidden="1"/>
    <row r="3" spans="1:9" ht="18">
      <c r="H3" s="60" t="s">
        <v>238</v>
      </c>
      <c r="I3" s="108" t="s">
        <v>242</v>
      </c>
    </row>
    <row r="4" spans="1:9" hidden="1">
      <c r="H4" s="61"/>
    </row>
    <row r="5" spans="1:9" ht="21">
      <c r="A5" s="98" t="s">
        <v>99</v>
      </c>
      <c r="B5" s="2"/>
      <c r="C5" s="2"/>
      <c r="D5" s="2"/>
      <c r="E5" s="2"/>
      <c r="F5" s="2"/>
      <c r="H5" s="61"/>
    </row>
    <row r="6" spans="1:9">
      <c r="A6" s="2" t="s">
        <v>228</v>
      </c>
      <c r="B6" s="2"/>
      <c r="C6" s="2"/>
      <c r="D6" s="2"/>
      <c r="E6" s="2"/>
      <c r="F6" s="2"/>
      <c r="H6" s="61"/>
    </row>
    <row r="7" spans="1:9">
      <c r="A7" s="4" t="s">
        <v>100</v>
      </c>
      <c r="B7" s="4" t="s">
        <v>101</v>
      </c>
      <c r="C7" s="4" t="s">
        <v>56</v>
      </c>
      <c r="D7" s="20"/>
      <c r="E7" s="8" t="s">
        <v>239</v>
      </c>
      <c r="F7" s="4" t="s">
        <v>103</v>
      </c>
    </row>
    <row r="8" spans="1:9">
      <c r="A8" t="s">
        <v>104</v>
      </c>
      <c r="B8" s="104">
        <f>'12 Month Rolling Forecast'!D18</f>
        <v>450000000</v>
      </c>
      <c r="C8" s="104">
        <f>'12 Month Rolling Forecast'!P18</f>
        <v>768953830.62540317</v>
      </c>
      <c r="E8" s="13" t="s">
        <v>90</v>
      </c>
      <c r="F8" s="106" t="str">
        <f>IF(Q45&gt;=3,"✓ Healthy",IF(Q45&gt;=1,"⚠ Needs Improvement","✗ Critical"))</f>
        <v>✗ Critical</v>
      </c>
    </row>
    <row r="9" spans="1:9">
      <c r="A9" t="s">
        <v>70</v>
      </c>
      <c r="B9" s="104">
        <f>'12 Month Rolling Forecast'!D19</f>
        <v>5281800000</v>
      </c>
      <c r="C9" s="104">
        <f>'12 Month Rolling Forecast'!P19</f>
        <v>9227445967.504837</v>
      </c>
      <c r="E9" s="13" t="s">
        <v>105</v>
      </c>
      <c r="F9" s="106" t="str">
        <f>IF(
'12 Month Rolling Forecast'!Q37/'12 Month Rolling Forecast'!Q17&lt;=2,
"✓ Efficient",
IF(
'12 Month Rolling Forecast'!Q37/'12 Month Rolling Forecast'!Q17&lt;4,
"⚠ Monitor",
"✗ High Burn"
)
)</f>
        <v>✓ Efficient</v>
      </c>
    </row>
    <row r="10" spans="1:9">
      <c r="A10" t="s">
        <v>106</v>
      </c>
      <c r="B10" s="104">
        <f>'12 Month Rolling Forecast'!D9</f>
        <v>774</v>
      </c>
      <c r="C10" s="104">
        <f>'12 Month Rolling Forecast'!P9</f>
        <v>1116</v>
      </c>
      <c r="E10" s="13" t="s">
        <v>107</v>
      </c>
      <c r="F10" s="106" t="str">
        <f>IF('12 Month Rolling Forecast'!Q43&gt;=0.7,"✓ Healthy",IF('12 Month Rolling Forecast'!Q43&gt;=0.5,"⚠ Low","✗ Critical"))</f>
        <v>✓ Healthy</v>
      </c>
    </row>
    <row r="11" spans="1:9">
      <c r="A11" t="s">
        <v>108</v>
      </c>
      <c r="B11" s="104">
        <f>'12 Month Rolling Forecast'!D37</f>
        <v>-17600000</v>
      </c>
      <c r="C11" s="104">
        <f>'12 Month Rolling Forecast'!P37</f>
        <v>0</v>
      </c>
      <c r="E11" s="13" t="s">
        <v>109</v>
      </c>
      <c r="F11" s="106" t="str">
        <f>IF('12 Month Rolling Forecast'!Q52&lt;=0.02,"✓ Low",IF('12 Month Rolling Forecast'!Q52&lt;=0.05,"⚠ Moderate","✗ High"))</f>
        <v>✓ Low</v>
      </c>
    </row>
    <row r="12" spans="1:9">
      <c r="A12" t="s">
        <v>110</v>
      </c>
      <c r="B12" s="104">
        <f>'12 Month Rolling Forecast'!D35</f>
        <v>2225877600</v>
      </c>
      <c r="C12" s="104">
        <f>'12 Month Rolling Forecast'!P35</f>
        <v>3820711215.2321715</v>
      </c>
      <c r="E12" s="13" t="s">
        <v>97</v>
      </c>
      <c r="F12" s="106" t="str">
        <f>IF('12 Month Rolling Forecast'!Q54&gt;=4,"✓ Strong",IF('12 Month Rolling Forecast'!Q54&gt;=2,"⚠ Moderate","✗ Weak"))</f>
        <v>✓ Strong</v>
      </c>
    </row>
    <row r="13" spans="1:9">
      <c r="A13" t="s">
        <v>237</v>
      </c>
      <c r="B13" s="104">
        <f>'12 Month Rolling Forecast'!D56</f>
        <v>126.47031818181819</v>
      </c>
      <c r="C13" s="104" t="str">
        <f>'12 Month Rolling Forecast'!P56</f>
        <v>Cash Positive</v>
      </c>
    </row>
    <row r="14" spans="1:9">
      <c r="B14" s="96"/>
      <c r="C14" s="96"/>
    </row>
    <row r="15" spans="1:9">
      <c r="A15" s="4" t="s">
        <v>235</v>
      </c>
      <c r="B15" s="97"/>
      <c r="C15" s="97"/>
      <c r="D15" s="4"/>
      <c r="E15" s="4"/>
      <c r="F15" s="4"/>
    </row>
    <row r="16" spans="1:9">
      <c r="A16" t="s">
        <v>114</v>
      </c>
      <c r="B16" s="104">
        <f>'12 Month Rolling Forecast'!Q23</f>
        <v>7509911486.9762297</v>
      </c>
      <c r="C16" s="96"/>
      <c r="E16" s="22" t="s">
        <v>113</v>
      </c>
    </row>
    <row r="17" spans="1:6">
      <c r="A17" t="s">
        <v>116</v>
      </c>
      <c r="B17" s="104">
        <f>'12 Month Rolling Forecast'!Q27</f>
        <v>2284433615.232172</v>
      </c>
      <c r="C17" s="96"/>
      <c r="E17" s="21" t="s">
        <v>115</v>
      </c>
    </row>
    <row r="18" spans="1:6" ht="18">
      <c r="A18" t="s">
        <v>236</v>
      </c>
      <c r="B18" s="104">
        <f>'12 Month Rolling Forecast'!Q34</f>
        <v>1594833615.232172</v>
      </c>
      <c r="C18" s="96"/>
      <c r="E18" s="95" t="s">
        <v>117</v>
      </c>
      <c r="F18" s="102" t="str">
        <f>IF('12 Month Rolling Forecast'!D56&lt;6,"⚠ START FUNDRAISING NOW","✓ Runway OK")</f>
        <v>✓ Runway OK</v>
      </c>
    </row>
    <row r="19" spans="1:6">
      <c r="A19" t="s">
        <v>119</v>
      </c>
      <c r="B19" s="105">
        <f>'12 Month Rolling Forecast'!Q37/'12 Month Rolling Forecast'!Q17</f>
        <v>0</v>
      </c>
    </row>
  </sheetData>
  <conditionalFormatting sqref="F18">
    <cfRule type="cellIs" dxfId="2" priority="19" operator="greaterThan">
      <formula>$F$18</formula>
    </cfRule>
    <cfRule type="cellIs" dxfId="1" priority="18" operator="greaterThan">
      <formula>6</formula>
    </cfRule>
  </conditionalFormatting>
  <conditionalFormatting sqref="F8">
    <cfRule type="expression" dxfId="32" priority="16">
      <formula>$Q$45&gt;=3</formula>
    </cfRule>
    <cfRule type="expression" dxfId="33" priority="15">
      <formula>AND($Q$45&gt;=1,$Q$45&lt;3)</formula>
    </cfRule>
    <cfRule type="expression" dxfId="31" priority="14">
      <formula>$Q$45&lt;1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F78663-BCDC-465F-B1E2-508B8C1B2DBC}">
            <xm:f>'12 Month Rolling Forecast'!D56&lt;6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expression" priority="13" id="{D911C11C-6C43-4D63-96E1-D2AA63F8D464}">
            <xm:f>'12 Month Rolling Forecast'!Q37/'12 Month Rolling Forecast'!Q17&lt;=2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expression" priority="12" id="{765B5188-7076-42D0-AFDA-3A971044C1F8}">
            <xm:f>AND( '12 Month Rolling Forecast'!Q37/'12 Month Rolling Forecast'!Q17&gt;2, '12 Month Rolling Forecast'!Q37/'12 Month Rolling Forecast'!Q17&lt;4 )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expression" priority="11" id="{C7FEF4F0-472C-42A7-A520-01137B301077}">
            <xm:f>'12 Month Rolling Forecast'!Q37/'12 Month Rolling Forecast'!Q17&gt;=4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10" id="{7665262B-BBDA-408C-8D83-E6ED60F52129}">
            <xm:f>'12 Month Rolling Forecast'!Q43&gt;=0.7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expression" priority="9" id="{D2AB91CF-827E-4064-9007-46F45896FF95}">
            <xm:f>AND( '12 Month Rolling Forecast'!Q43&gt;=0.5, '12 Month Rolling Forecast'!Q43&lt;0.7 )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expression" priority="8" id="{BDC7D08A-3C55-43AD-8863-DFB2370AF1C3}">
            <xm:f>'12 Month Rolling Forecast'!Q43&lt;0.5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7" id="{79FE7C9E-7CEA-4D5E-A24E-24D3ADB20214}">
            <xm:f>'12 Month Rolling Forecast'!Q52&lt;=0.02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expression" priority="6" id="{988FF42A-7BFA-4025-9F16-6108A855CBCB}">
            <xm:f>AND( '12 Month Rolling Forecast'!Q52&gt;0.02, '12 Month Rolling Forecast'!Q52&lt;=0.05 )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expression" priority="5" id="{66345A16-58A6-4227-8FBA-86428D354C00}">
            <xm:f>'12 Month Rolling Forecast'!Q52&gt;0.05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F11</xm:sqref>
        </x14:conditionalFormatting>
        <x14:conditionalFormatting xmlns:xm="http://schemas.microsoft.com/office/excel/2006/main">
          <x14:cfRule type="expression" priority="4" id="{4A8107DE-BC91-4118-8584-0801EC795BD9}">
            <xm:f>'12 Month Rolling Forecast'!Q54&gt;=4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expression" priority="3" id="{69350C35-7884-4B16-AC36-5B7D9717B9D4}">
            <xm:f>AND( '12 Month Rolling Forecast'!Q54&gt;=2, '12 Month Rolling Forecast'!Q54&lt;4 )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expression" priority="2" id="{73BD6980-1060-4C04-8ED6-94CC9726E364}">
            <xm:f>'12 Month Rolling Forecast'!Q54&lt;2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3FEA9B-CB00-41B8-A3E2-FC4417502D5B}">
          <x14:formula1>
            <xm:f>'Assumptions &amp; Data'!$D$3:$D$5</xm:f>
          </x14:formula1>
          <xm:sqref>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D930-8C87-4B1C-AE0C-952E122D5371}">
  <sheetPr codeName="Sheet3"/>
  <dimension ref="A1:Q58"/>
  <sheetViews>
    <sheetView showGridLines="0" zoomScale="75" workbookViewId="0">
      <pane xSplit="1" ySplit="2" topLeftCell="C4" activePane="bottomRight" state="frozen"/>
      <selection pane="topRight" activeCell="B1" sqref="B1"/>
      <selection pane="bottomLeft" activeCell="A3" sqref="A3"/>
      <selection pane="bottomRight" activeCell="A9" sqref="A9"/>
    </sheetView>
  </sheetViews>
  <sheetFormatPr defaultRowHeight="15.6" outlineLevelRow="1"/>
  <cols>
    <col min="1" max="1" width="27.296875" bestFit="1" customWidth="1"/>
    <col min="2" max="2" width="8.3984375" hidden="1" customWidth="1"/>
    <col min="3" max="16" width="12.5" bestFit="1" customWidth="1"/>
    <col min="17" max="17" width="13.3984375" bestFit="1" customWidth="1"/>
  </cols>
  <sheetData>
    <row r="1" spans="1:17">
      <c r="A1" s="45" t="s">
        <v>224</v>
      </c>
      <c r="B1" s="46"/>
      <c r="C1" s="46" t="s">
        <v>222</v>
      </c>
      <c r="D1" s="47"/>
      <c r="E1" s="48" t="s">
        <v>223</v>
      </c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</row>
    <row r="2" spans="1:17">
      <c r="A2" s="51" t="s">
        <v>228</v>
      </c>
      <c r="B2" s="46"/>
      <c r="C2" s="52">
        <v>45716</v>
      </c>
      <c r="D2" s="52">
        <f>EOMONTH(C2,1)</f>
        <v>45747</v>
      </c>
      <c r="E2" s="53">
        <f t="shared" ref="E2:P2" si="0">EOMONTH(D2,1)</f>
        <v>45777</v>
      </c>
      <c r="F2" s="53">
        <f t="shared" si="0"/>
        <v>45808</v>
      </c>
      <c r="G2" s="53">
        <f t="shared" si="0"/>
        <v>45838</v>
      </c>
      <c r="H2" s="53">
        <f t="shared" si="0"/>
        <v>45869</v>
      </c>
      <c r="I2" s="53">
        <f t="shared" si="0"/>
        <v>45900</v>
      </c>
      <c r="J2" s="53">
        <f t="shared" si="0"/>
        <v>45930</v>
      </c>
      <c r="K2" s="53">
        <f t="shared" si="0"/>
        <v>45961</v>
      </c>
      <c r="L2" s="53">
        <f t="shared" si="0"/>
        <v>45991</v>
      </c>
      <c r="M2" s="53">
        <f t="shared" si="0"/>
        <v>46022</v>
      </c>
      <c r="N2" s="53">
        <f t="shared" si="0"/>
        <v>46053</v>
      </c>
      <c r="O2" s="53">
        <f t="shared" si="0"/>
        <v>46081</v>
      </c>
      <c r="P2" s="53">
        <f t="shared" si="0"/>
        <v>46112</v>
      </c>
      <c r="Q2" s="81" t="s">
        <v>234</v>
      </c>
    </row>
    <row r="3" spans="1:17" hidden="1">
      <c r="A3" s="54"/>
    </row>
    <row r="5" spans="1:17">
      <c r="A5" s="56" t="s">
        <v>58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</row>
    <row r="6" spans="1:17" hidden="1" outlineLevel="1">
      <c r="A6" t="s">
        <v>59</v>
      </c>
      <c r="C6" s="5">
        <v>740</v>
      </c>
      <c r="D6" s="5">
        <f>C9</f>
        <v>756</v>
      </c>
      <c r="E6" s="11">
        <f>D9</f>
        <v>774</v>
      </c>
      <c r="F6" s="11">
        <f t="shared" ref="F6" si="1">E9</f>
        <v>803</v>
      </c>
      <c r="G6" s="11">
        <f t="shared" ref="G6:P6" si="2">F9</f>
        <v>833</v>
      </c>
      <c r="H6" s="11">
        <f t="shared" si="2"/>
        <v>862</v>
      </c>
      <c r="I6" s="11">
        <f t="shared" si="2"/>
        <v>891</v>
      </c>
      <c r="J6" s="11">
        <f t="shared" si="2"/>
        <v>920</v>
      </c>
      <c r="K6" s="11">
        <f t="shared" si="2"/>
        <v>949</v>
      </c>
      <c r="L6" s="11">
        <f t="shared" si="2"/>
        <v>977</v>
      </c>
      <c r="M6" s="11">
        <f t="shared" si="2"/>
        <v>1005</v>
      </c>
      <c r="N6" s="11">
        <f t="shared" si="2"/>
        <v>1033</v>
      </c>
      <c r="O6" s="11">
        <f t="shared" si="2"/>
        <v>1061</v>
      </c>
      <c r="P6" s="11">
        <f t="shared" si="2"/>
        <v>1089</v>
      </c>
      <c r="Q6" s="86" t="s">
        <v>77</v>
      </c>
    </row>
    <row r="7" spans="1:17" hidden="1" outlineLevel="1">
      <c r="A7" t="s">
        <v>60</v>
      </c>
      <c r="C7" s="5">
        <v>20</v>
      </c>
      <c r="D7" s="5">
        <v>22</v>
      </c>
      <c r="E7">
        <f>'Assumptions &amp; Data'!$B$90</f>
        <v>35</v>
      </c>
      <c r="F7">
        <f>ROUND(E7*(1+'Assumptions &amp; Data'!B91),0)</f>
        <v>36</v>
      </c>
      <c r="G7">
        <f>ROUND(F7*(1+'Assumptions &amp; Data'!C91),0)</f>
        <v>36</v>
      </c>
      <c r="H7">
        <f>ROUND(G7*(1+'Assumptions &amp; Data'!D91),0)</f>
        <v>36</v>
      </c>
      <c r="I7">
        <f>ROUND(H7*(1+'Assumptions &amp; Data'!E91),0)</f>
        <v>36</v>
      </c>
      <c r="J7">
        <f>ROUND(I7*(1+'Assumptions &amp; Data'!F91),0)</f>
        <v>36</v>
      </c>
      <c r="K7">
        <f>ROUND(J7*(1+'Assumptions &amp; Data'!G91),0)</f>
        <v>36</v>
      </c>
      <c r="L7">
        <f>ROUND(K7*(1+'Assumptions &amp; Data'!H91),0)</f>
        <v>36</v>
      </c>
      <c r="M7">
        <f>ROUND(L7*(1+'Assumptions &amp; Data'!I91),0)</f>
        <v>36</v>
      </c>
      <c r="N7">
        <f>ROUND(M7*(1+'Assumptions &amp; Data'!J91),0)</f>
        <v>36</v>
      </c>
      <c r="O7">
        <f>ROUND(N7*(1+'Assumptions &amp; Data'!K91),0)</f>
        <v>36</v>
      </c>
      <c r="P7">
        <f>ROUND(O7*(1+'Assumptions &amp; Data'!L91),0)</f>
        <v>36</v>
      </c>
      <c r="Q7" s="3">
        <f>SUM(E7:P7)</f>
        <v>431</v>
      </c>
    </row>
    <row r="8" spans="1:17" hidden="1" outlineLevel="1">
      <c r="A8" t="s">
        <v>61</v>
      </c>
      <c r="C8" s="67">
        <v>-4</v>
      </c>
      <c r="D8" s="67">
        <v>-4</v>
      </c>
      <c r="E8" s="68">
        <f>-ROUND(E6*'Assumptions &amp; Data'!$B$93,0)</f>
        <v>-6</v>
      </c>
      <c r="F8" s="68">
        <f>-ROUND(F6*'Assumptions &amp; Data'!$B$93,0)</f>
        <v>-6</v>
      </c>
      <c r="G8" s="68">
        <f>-ROUND(G6*'Assumptions &amp; Data'!$B$93,0)</f>
        <v>-7</v>
      </c>
      <c r="H8" s="68">
        <f>-ROUND(H6*'Assumptions &amp; Data'!$B$93,0)</f>
        <v>-7</v>
      </c>
      <c r="I8" s="68">
        <f>-ROUND(I6*'Assumptions &amp; Data'!$B$93,0)</f>
        <v>-7</v>
      </c>
      <c r="J8" s="68">
        <f>-ROUND(J6*'Assumptions &amp; Data'!$B$93,0)</f>
        <v>-7</v>
      </c>
      <c r="K8" s="68">
        <f>-ROUND(K6*'Assumptions &amp; Data'!$B$93,0)</f>
        <v>-8</v>
      </c>
      <c r="L8" s="68">
        <f>-ROUND(L6*'Assumptions &amp; Data'!$B$93,0)</f>
        <v>-8</v>
      </c>
      <c r="M8" s="68">
        <f>-ROUND(M6*'Assumptions &amp; Data'!$B$93,0)</f>
        <v>-8</v>
      </c>
      <c r="N8" s="68">
        <f>-ROUND(N6*'Assumptions &amp; Data'!$B$93,0)</f>
        <v>-8</v>
      </c>
      <c r="O8" s="68">
        <f>-ROUND(O6*'Assumptions &amp; Data'!$B$93,0)</f>
        <v>-8</v>
      </c>
      <c r="P8" s="68">
        <f>-ROUND(P6*'Assumptions &amp; Data'!$B$93,0)</f>
        <v>-9</v>
      </c>
      <c r="Q8" s="3">
        <f t="shared" ref="Q8:Q9" si="3">SUM(E8:P8)</f>
        <v>-89</v>
      </c>
    </row>
    <row r="9" spans="1:17" hidden="1" outlineLevel="1">
      <c r="A9" s="3" t="s">
        <v>62</v>
      </c>
      <c r="C9" s="82">
        <f>SUM(C6:C8)</f>
        <v>756</v>
      </c>
      <c r="D9" s="82">
        <f>SUM(D6:D8)</f>
        <v>774</v>
      </c>
      <c r="E9" s="83">
        <f>SUM(E6:E8)</f>
        <v>803</v>
      </c>
      <c r="F9" s="83">
        <f t="shared" ref="F9:P9" si="4">SUM(F6:F8)</f>
        <v>833</v>
      </c>
      <c r="G9" s="83">
        <f t="shared" si="4"/>
        <v>862</v>
      </c>
      <c r="H9" s="83">
        <f t="shared" si="4"/>
        <v>891</v>
      </c>
      <c r="I9" s="83">
        <f t="shared" si="4"/>
        <v>920</v>
      </c>
      <c r="J9" s="83">
        <f t="shared" si="4"/>
        <v>949</v>
      </c>
      <c r="K9" s="83">
        <f t="shared" si="4"/>
        <v>977</v>
      </c>
      <c r="L9" s="83">
        <f t="shared" si="4"/>
        <v>1005</v>
      </c>
      <c r="M9" s="83">
        <f t="shared" si="4"/>
        <v>1033</v>
      </c>
      <c r="N9" s="83">
        <f t="shared" si="4"/>
        <v>1061</v>
      </c>
      <c r="O9" s="83">
        <f t="shared" si="4"/>
        <v>1089</v>
      </c>
      <c r="P9" s="83">
        <f t="shared" si="4"/>
        <v>1116</v>
      </c>
      <c r="Q9" s="83">
        <f>P9</f>
        <v>1116</v>
      </c>
    </row>
    <row r="10" spans="1:17" hidden="1" outlineLevel="1">
      <c r="Q10" s="3"/>
    </row>
    <row r="11" spans="1:17" collapsed="1">
      <c r="Q11" s="3"/>
    </row>
    <row r="12" spans="1:17">
      <c r="A12" s="56" t="s">
        <v>63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6"/>
    </row>
    <row r="13" spans="1:17" hidden="1" outlineLevel="1">
      <c r="A13" t="s">
        <v>64</v>
      </c>
      <c r="C13" s="5">
        <v>420000000</v>
      </c>
      <c r="D13" s="5">
        <f>C18</f>
        <v>429830000</v>
      </c>
      <c r="E13" s="11">
        <f>'Assumptions &amp; Data'!$B$89</f>
        <v>460000000</v>
      </c>
      <c r="F13" s="11">
        <f>E18</f>
        <v>484590000</v>
      </c>
      <c r="G13" s="11">
        <f t="shared" ref="G13:P13" si="5">F18</f>
        <v>509928360</v>
      </c>
      <c r="H13" s="11">
        <f t="shared" si="5"/>
        <v>535368073.44</v>
      </c>
      <c r="I13" s="11">
        <f t="shared" si="5"/>
        <v>560909545.73376</v>
      </c>
      <c r="J13" s="11">
        <f t="shared" si="5"/>
        <v>586553183.916695</v>
      </c>
      <c r="K13" s="11">
        <f t="shared" si="5"/>
        <v>612299396.65236175</v>
      </c>
      <c r="L13" s="11">
        <f t="shared" si="5"/>
        <v>638148594.23897123</v>
      </c>
      <c r="M13" s="11">
        <f t="shared" si="5"/>
        <v>664101188.6159271</v>
      </c>
      <c r="N13" s="11">
        <f t="shared" si="5"/>
        <v>690157593.37039077</v>
      </c>
      <c r="O13" s="11">
        <f t="shared" si="5"/>
        <v>716318223.74387228</v>
      </c>
      <c r="P13" s="11">
        <f t="shared" si="5"/>
        <v>742583496.63884783</v>
      </c>
      <c r="Q13" s="86" t="s">
        <v>77</v>
      </c>
    </row>
    <row r="14" spans="1:17" hidden="1" outlineLevel="1">
      <c r="A14" t="s">
        <v>65</v>
      </c>
      <c r="C14" s="5">
        <v>10000000</v>
      </c>
      <c r="D14" s="5">
        <v>10500000</v>
      </c>
      <c r="E14" s="11">
        <f>'12 Month Rolling Forecast'!E7*'Assumptions &amp; Data'!$B$92</f>
        <v>22750000</v>
      </c>
      <c r="F14" s="11">
        <f>'12 Month Rolling Forecast'!F7*'Assumptions &amp; Data'!$B$92</f>
        <v>23400000</v>
      </c>
      <c r="G14" s="11">
        <f>'12 Month Rolling Forecast'!G7*'Assumptions &amp; Data'!$B$92</f>
        <v>23400000</v>
      </c>
      <c r="H14" s="11">
        <f>'12 Month Rolling Forecast'!H7*'Assumptions &amp; Data'!$B$92</f>
        <v>23400000</v>
      </c>
      <c r="I14" s="11">
        <f>'12 Month Rolling Forecast'!I7*'Assumptions &amp; Data'!$B$92</f>
        <v>23400000</v>
      </c>
      <c r="J14" s="11">
        <f>'12 Month Rolling Forecast'!J7*'Assumptions &amp; Data'!$B$92</f>
        <v>23400000</v>
      </c>
      <c r="K14" s="11">
        <f>'12 Month Rolling Forecast'!K7*'Assumptions &amp; Data'!$B$92</f>
        <v>23400000</v>
      </c>
      <c r="L14" s="11">
        <f>'12 Month Rolling Forecast'!L7*'Assumptions &amp; Data'!$B$92</f>
        <v>23400000</v>
      </c>
      <c r="M14" s="11">
        <f>'12 Month Rolling Forecast'!M7*'Assumptions &amp; Data'!$B$92</f>
        <v>23400000</v>
      </c>
      <c r="N14" s="11">
        <f>'12 Month Rolling Forecast'!N7*'Assumptions &amp; Data'!$B$92</f>
        <v>23400000</v>
      </c>
      <c r="O14" s="11">
        <f>'12 Month Rolling Forecast'!O7*'Assumptions &amp; Data'!$B$92</f>
        <v>23400000</v>
      </c>
      <c r="P14" s="11">
        <f>'12 Month Rolling Forecast'!P7*'Assumptions &amp; Data'!$B$92</f>
        <v>23400000</v>
      </c>
      <c r="Q14" s="12">
        <f t="shared" ref="Q14:Q17" si="6">SUM(E14:P14)</f>
        <v>280150000</v>
      </c>
    </row>
    <row r="15" spans="1:17" hidden="1" outlineLevel="1">
      <c r="A15" t="s">
        <v>66</v>
      </c>
      <c r="C15" s="5">
        <v>325000</v>
      </c>
      <c r="D15" s="5">
        <v>330000</v>
      </c>
      <c r="E15" s="11">
        <f>E13*'Assumptions &amp; Data'!$B$94</f>
        <v>5520000</v>
      </c>
      <c r="F15" s="11">
        <f>F13*'Assumptions &amp; Data'!$B$94</f>
        <v>5815080</v>
      </c>
      <c r="G15" s="11">
        <f>G13*'Assumptions &amp; Data'!$B$94</f>
        <v>6119140.3200000003</v>
      </c>
      <c r="H15" s="11">
        <f>H13*'Assumptions &amp; Data'!$B$94</f>
        <v>6424416.8812800003</v>
      </c>
      <c r="I15" s="11">
        <f>I13*'Assumptions &amp; Data'!$B$94</f>
        <v>6730914.5488051204</v>
      </c>
      <c r="J15" s="11">
        <f>J13*'Assumptions &amp; Data'!$B$94</f>
        <v>7038638.2070003403</v>
      </c>
      <c r="K15" s="11">
        <f>K13*'Assumptions &amp; Data'!$B$94</f>
        <v>7347592.7598283412</v>
      </c>
      <c r="L15" s="11">
        <f>L13*'Assumptions &amp; Data'!$B$94</f>
        <v>7657783.1308676554</v>
      </c>
      <c r="M15" s="11">
        <f>M13*'Assumptions &amp; Data'!$B$94</f>
        <v>7969214.263391125</v>
      </c>
      <c r="N15" s="11">
        <f>N13*'Assumptions &amp; Data'!$B$94</f>
        <v>8281891.1204446899</v>
      </c>
      <c r="O15" s="11">
        <f>O13*'Assumptions &amp; Data'!$B$94</f>
        <v>8595818.684926467</v>
      </c>
      <c r="P15" s="11">
        <f>P13*'Assumptions &amp; Data'!$B$94</f>
        <v>8911001.9596661739</v>
      </c>
      <c r="Q15" s="12">
        <f t="shared" si="6"/>
        <v>86411491.876209915</v>
      </c>
    </row>
    <row r="16" spans="1:17" hidden="1" outlineLevel="1">
      <c r="A16" t="s">
        <v>67</v>
      </c>
      <c r="C16" s="67">
        <v>-495000</v>
      </c>
      <c r="D16" s="67">
        <v>-510000</v>
      </c>
      <c r="E16" s="68">
        <f>-E13*'Assumptions &amp; Data'!$B$93</f>
        <v>-3680000</v>
      </c>
      <c r="F16" s="68">
        <f>-F13*'Assumptions &amp; Data'!$B$93</f>
        <v>-3876720</v>
      </c>
      <c r="G16" s="68">
        <f>-G13*'Assumptions &amp; Data'!$B$93</f>
        <v>-4079426.88</v>
      </c>
      <c r="H16" s="68">
        <f>-H13*'Assumptions &amp; Data'!$B$93</f>
        <v>-4282944.5875200005</v>
      </c>
      <c r="I16" s="68">
        <f>-I13*'Assumptions &amp; Data'!$B$93</f>
        <v>-4487276.36587008</v>
      </c>
      <c r="J16" s="68">
        <f>-J13*'Assumptions &amp; Data'!$B$93</f>
        <v>-4692425.4713335605</v>
      </c>
      <c r="K16" s="68">
        <f>-K13*'Assumptions &amp; Data'!$B$93</f>
        <v>-4898395.1732188938</v>
      </c>
      <c r="L16" s="68">
        <f>-L13*'Assumptions &amp; Data'!$B$93</f>
        <v>-5105188.7539117699</v>
      </c>
      <c r="M16" s="68">
        <f>-M13*'Assumptions &amp; Data'!$B$93</f>
        <v>-5312809.508927417</v>
      </c>
      <c r="N16" s="68">
        <f>-N13*'Assumptions &amp; Data'!$B$93</f>
        <v>-5521260.7469631266</v>
      </c>
      <c r="O16" s="68">
        <f>-O13*'Assumptions &amp; Data'!$B$93</f>
        <v>-5730545.789950978</v>
      </c>
      <c r="P16" s="68">
        <f>-P13*'Assumptions &amp; Data'!$B$93</f>
        <v>-5940667.9731107829</v>
      </c>
      <c r="Q16" s="87">
        <f t="shared" si="6"/>
        <v>-57607661.250806615</v>
      </c>
    </row>
    <row r="17" spans="1:17" hidden="1" outlineLevel="1">
      <c r="A17" t="s">
        <v>68</v>
      </c>
      <c r="C17" s="5">
        <v>9830000</v>
      </c>
      <c r="D17" s="5">
        <v>10320000</v>
      </c>
      <c r="E17" s="11">
        <f>SUM(E14:E16)</f>
        <v>24590000</v>
      </c>
      <c r="F17" s="11">
        <f t="shared" ref="F17:P17" si="7">SUM(F14:F16)</f>
        <v>25338360</v>
      </c>
      <c r="G17" s="11">
        <f t="shared" ref="G17" si="8">SUM(G14:G16)</f>
        <v>25439713.440000001</v>
      </c>
      <c r="H17" s="11">
        <f t="shared" ref="H17" si="9">SUM(H14:H16)</f>
        <v>25541472.293760002</v>
      </c>
      <c r="I17" s="11">
        <f t="shared" ref="I17" si="10">SUM(I14:I16)</f>
        <v>25643638.18293504</v>
      </c>
      <c r="J17" s="11">
        <f t="shared" ref="J17" si="11">SUM(J14:J16)</f>
        <v>25746212.735666782</v>
      </c>
      <c r="K17" s="11">
        <f t="shared" ref="K17" si="12">SUM(K14:K16)</f>
        <v>25849197.586609446</v>
      </c>
      <c r="L17" s="11">
        <f t="shared" ref="L17" si="13">SUM(L14:L16)</f>
        <v>25952594.376955885</v>
      </c>
      <c r="M17" s="11">
        <f t="shared" ref="M17" si="14">SUM(M14:M16)</f>
        <v>26056404.75446371</v>
      </c>
      <c r="N17" s="11">
        <f t="shared" ref="N17" si="15">SUM(N14:N16)</f>
        <v>26160630.373481564</v>
      </c>
      <c r="O17" s="11">
        <f t="shared" ref="O17" si="16">SUM(O14:O16)</f>
        <v>26265272.894975487</v>
      </c>
      <c r="P17" s="11">
        <f t="shared" ref="P17" si="17">SUM(P14:P16)</f>
        <v>26370333.98655539</v>
      </c>
      <c r="Q17" s="12">
        <f t="shared" si="6"/>
        <v>308953830.62540334</v>
      </c>
    </row>
    <row r="18" spans="1:17" hidden="1" outlineLevel="1">
      <c r="A18" s="3" t="s">
        <v>69</v>
      </c>
      <c r="C18" s="5">
        <v>429830000</v>
      </c>
      <c r="D18" s="5">
        <v>450000000</v>
      </c>
      <c r="E18" s="11">
        <f>E13+E17</f>
        <v>484590000</v>
      </c>
      <c r="F18" s="11">
        <f t="shared" ref="F18:P18" si="18">F13+F17</f>
        <v>509928360</v>
      </c>
      <c r="G18" s="11">
        <f t="shared" ref="G18" si="19">G13+G17</f>
        <v>535368073.44</v>
      </c>
      <c r="H18" s="11">
        <f t="shared" ref="H18" si="20">H13+H17</f>
        <v>560909545.73376</v>
      </c>
      <c r="I18" s="11">
        <f t="shared" ref="I18" si="21">I13+I17</f>
        <v>586553183.916695</v>
      </c>
      <c r="J18" s="11">
        <f t="shared" ref="J18" si="22">J13+J17</f>
        <v>612299396.65236175</v>
      </c>
      <c r="K18" s="11">
        <f t="shared" ref="K18" si="23">K13+K17</f>
        <v>638148594.23897123</v>
      </c>
      <c r="L18" s="11">
        <f t="shared" ref="L18" si="24">L13+L17</f>
        <v>664101188.6159271</v>
      </c>
      <c r="M18" s="11">
        <f t="shared" ref="M18" si="25">M13+M17</f>
        <v>690157593.37039077</v>
      </c>
      <c r="N18" s="11">
        <f t="shared" ref="N18" si="26">N13+N17</f>
        <v>716318223.74387228</v>
      </c>
      <c r="O18" s="11">
        <f t="shared" ref="O18" si="27">O13+O17</f>
        <v>742583496.63884783</v>
      </c>
      <c r="P18" s="11">
        <f t="shared" ref="P18" si="28">P13+P17</f>
        <v>768953830.62540317</v>
      </c>
      <c r="Q18" s="12">
        <f>P18</f>
        <v>768953830.62540317</v>
      </c>
    </row>
    <row r="19" spans="1:17" hidden="1" outlineLevel="1">
      <c r="A19" s="3" t="s">
        <v>70</v>
      </c>
      <c r="C19" s="82">
        <v>5157960000</v>
      </c>
      <c r="D19" s="82">
        <v>5281800000</v>
      </c>
      <c r="E19" s="83">
        <f>E18*12</f>
        <v>5815080000</v>
      </c>
      <c r="F19" s="83">
        <f t="shared" ref="F19:Q19" si="29">F18*12</f>
        <v>6119140320</v>
      </c>
      <c r="G19" s="83">
        <f t="shared" si="29"/>
        <v>6424416881.2799997</v>
      </c>
      <c r="H19" s="83">
        <f t="shared" si="29"/>
        <v>6730914548.8051205</v>
      </c>
      <c r="I19" s="83">
        <f t="shared" si="29"/>
        <v>7038638207.0003395</v>
      </c>
      <c r="J19" s="83">
        <f t="shared" si="29"/>
        <v>7347592759.8283405</v>
      </c>
      <c r="K19" s="83">
        <f t="shared" si="29"/>
        <v>7657783130.8676548</v>
      </c>
      <c r="L19" s="83">
        <f t="shared" si="29"/>
        <v>7969214263.3911247</v>
      </c>
      <c r="M19" s="83">
        <f t="shared" si="29"/>
        <v>8281891120.4446888</v>
      </c>
      <c r="N19" s="83">
        <f t="shared" si="29"/>
        <v>8595818684.9264679</v>
      </c>
      <c r="O19" s="83">
        <f t="shared" si="29"/>
        <v>8911001959.6661739</v>
      </c>
      <c r="P19" s="83">
        <f t="shared" si="29"/>
        <v>9227445967.504837</v>
      </c>
      <c r="Q19" s="83">
        <f t="shared" si="29"/>
        <v>9227445967.504837</v>
      </c>
    </row>
    <row r="20" spans="1:17" hidden="1" outlineLevel="1">
      <c r="Q20" s="3"/>
    </row>
    <row r="21" spans="1:17" collapsed="1">
      <c r="Q21" s="3"/>
    </row>
    <row r="22" spans="1:17">
      <c r="A22" s="56" t="s">
        <v>233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6"/>
    </row>
    <row r="23" spans="1:17" hidden="1" outlineLevel="1">
      <c r="A23" t="s">
        <v>72</v>
      </c>
      <c r="C23" s="5">
        <v>429830000</v>
      </c>
      <c r="D23" s="5">
        <v>450000000</v>
      </c>
      <c r="E23" s="11">
        <f t="shared" ref="E23:P23" si="30">E18</f>
        <v>484590000</v>
      </c>
      <c r="F23" s="11">
        <f t="shared" si="30"/>
        <v>509928360</v>
      </c>
      <c r="G23" s="11">
        <f t="shared" si="30"/>
        <v>535368073.44</v>
      </c>
      <c r="H23" s="11">
        <f t="shared" si="30"/>
        <v>560909545.73376</v>
      </c>
      <c r="I23" s="11">
        <f t="shared" si="30"/>
        <v>586553183.916695</v>
      </c>
      <c r="J23" s="11">
        <f t="shared" si="30"/>
        <v>612299396.65236175</v>
      </c>
      <c r="K23" s="11">
        <f t="shared" si="30"/>
        <v>638148594.23897123</v>
      </c>
      <c r="L23" s="11">
        <f t="shared" si="30"/>
        <v>664101188.6159271</v>
      </c>
      <c r="M23" s="11">
        <f t="shared" si="30"/>
        <v>690157593.37039077</v>
      </c>
      <c r="N23" s="11">
        <f t="shared" si="30"/>
        <v>716318223.74387228</v>
      </c>
      <c r="O23" s="11">
        <f t="shared" si="30"/>
        <v>742583496.63884783</v>
      </c>
      <c r="P23" s="11">
        <f t="shared" si="30"/>
        <v>768953830.62540317</v>
      </c>
      <c r="Q23" s="12">
        <f>SUM(E23:P23)</f>
        <v>7509911486.9762297</v>
      </c>
    </row>
    <row r="24" spans="1:17" hidden="1" outlineLevel="1">
      <c r="A24" t="s">
        <v>73</v>
      </c>
      <c r="C24" s="67">
        <v>-120352400.00000001</v>
      </c>
      <c r="D24" s="67">
        <v>-126000000.00000001</v>
      </c>
      <c r="E24" s="68">
        <f>-E23*(1-'Assumptions &amp; Data'!$B$95)</f>
        <v>-121147500</v>
      </c>
      <c r="F24" s="68">
        <f>-F23*(1-'Assumptions &amp; Data'!$B$95)</f>
        <v>-127482090</v>
      </c>
      <c r="G24" s="68">
        <f>-G23*(1-'Assumptions &amp; Data'!$B$95)</f>
        <v>-133842018.36</v>
      </c>
      <c r="H24" s="68">
        <f>-H23*(1-'Assumptions &amp; Data'!$B$95)</f>
        <v>-140227386.43344</v>
      </c>
      <c r="I24" s="68">
        <f>-I23*(1-'Assumptions &amp; Data'!$B$95)</f>
        <v>-146638295.97917375</v>
      </c>
      <c r="J24" s="68">
        <f>-J23*(1-'Assumptions &amp; Data'!$B$95)</f>
        <v>-153074849.16309044</v>
      </c>
      <c r="K24" s="68">
        <f>-K23*(1-'Assumptions &amp; Data'!$B$95)</f>
        <v>-159537148.55974281</v>
      </c>
      <c r="L24" s="68">
        <f>-L23*(1-'Assumptions &amp; Data'!$B$95)</f>
        <v>-166025297.15398178</v>
      </c>
      <c r="M24" s="68">
        <f>-M23*(1-'Assumptions &amp; Data'!$B$95)</f>
        <v>-172539398.34259769</v>
      </c>
      <c r="N24" s="68">
        <f>-N23*(1-'Assumptions &amp; Data'!$B$95)</f>
        <v>-179079555.93596807</v>
      </c>
      <c r="O24" s="68">
        <f>-O23*(1-'Assumptions &amp; Data'!$B$95)</f>
        <v>-185645874.15971196</v>
      </c>
      <c r="P24" s="68">
        <f>-P23*(1-'Assumptions &amp; Data'!$B$95)</f>
        <v>-192238457.65635079</v>
      </c>
      <c r="Q24" s="12">
        <f t="shared" ref="Q24:Q27" si="31">SUM(E24:P24)</f>
        <v>-1877477871.7440574</v>
      </c>
    </row>
    <row r="25" spans="1:17" hidden="1" outlineLevel="1">
      <c r="A25" s="3" t="s">
        <v>74</v>
      </c>
      <c r="C25" s="5">
        <v>309477600</v>
      </c>
      <c r="D25" s="5">
        <v>324000000</v>
      </c>
      <c r="E25" s="11">
        <f t="shared" ref="E25:P25" si="32">SUM(E23:E24)</f>
        <v>363442500</v>
      </c>
      <c r="F25" s="11">
        <f t="shared" si="32"/>
        <v>382446270</v>
      </c>
      <c r="G25" s="11">
        <f t="shared" si="32"/>
        <v>401526055.07999998</v>
      </c>
      <c r="H25" s="11">
        <f t="shared" si="32"/>
        <v>420682159.30032003</v>
      </c>
      <c r="I25" s="11">
        <f t="shared" si="32"/>
        <v>439914887.93752122</v>
      </c>
      <c r="J25" s="11">
        <f t="shared" si="32"/>
        <v>459224547.48927128</v>
      </c>
      <c r="K25" s="11">
        <f t="shared" si="32"/>
        <v>478611445.67922843</v>
      </c>
      <c r="L25" s="11">
        <f t="shared" si="32"/>
        <v>498075891.4619453</v>
      </c>
      <c r="M25" s="11">
        <f t="shared" si="32"/>
        <v>517618195.02779305</v>
      </c>
      <c r="N25" s="11">
        <f t="shared" si="32"/>
        <v>537238667.80790424</v>
      </c>
      <c r="O25" s="11">
        <f t="shared" si="32"/>
        <v>556937622.47913587</v>
      </c>
      <c r="P25" s="11">
        <f t="shared" si="32"/>
        <v>576715372.96905231</v>
      </c>
      <c r="Q25" s="12">
        <f t="shared" si="31"/>
        <v>5632433615.2321711</v>
      </c>
    </row>
    <row r="26" spans="1:17" hidden="1" outlineLevel="1">
      <c r="A26" t="s">
        <v>75</v>
      </c>
      <c r="C26" s="67">
        <v>-302000000</v>
      </c>
      <c r="D26" s="67">
        <v>-302000000</v>
      </c>
      <c r="E26" s="68">
        <f>-'Assumptions &amp; Data'!$B$110</f>
        <v>-279000000</v>
      </c>
      <c r="F26" s="68">
        <f>-'Assumptions &amp; Data'!$B$110</f>
        <v>-279000000</v>
      </c>
      <c r="G26" s="68">
        <f>-'Assumptions &amp; Data'!$B$110</f>
        <v>-279000000</v>
      </c>
      <c r="H26" s="68">
        <f>-'Assumptions &amp; Data'!$B$110</f>
        <v>-279000000</v>
      </c>
      <c r="I26" s="68">
        <f>-'Assumptions &amp; Data'!$B$110</f>
        <v>-279000000</v>
      </c>
      <c r="J26" s="68">
        <f>-'Assumptions &amp; Data'!$B$110</f>
        <v>-279000000</v>
      </c>
      <c r="K26" s="68">
        <f>-'Assumptions &amp; Data'!$B$110</f>
        <v>-279000000</v>
      </c>
      <c r="L26" s="68">
        <f>-'Assumptions &amp; Data'!$B$110</f>
        <v>-279000000</v>
      </c>
      <c r="M26" s="68">
        <f>-'Assumptions &amp; Data'!$B$110</f>
        <v>-279000000</v>
      </c>
      <c r="N26" s="68">
        <f>-'Assumptions &amp; Data'!$B$110</f>
        <v>-279000000</v>
      </c>
      <c r="O26" s="68">
        <f>-'Assumptions &amp; Data'!$B$110</f>
        <v>-279000000</v>
      </c>
      <c r="P26" s="68">
        <f>-'Assumptions &amp; Data'!$B$110</f>
        <v>-279000000</v>
      </c>
      <c r="Q26" s="12">
        <f t="shared" si="31"/>
        <v>-3348000000</v>
      </c>
    </row>
    <row r="27" spans="1:17" hidden="1" outlineLevel="1">
      <c r="A27" s="3" t="s">
        <v>76</v>
      </c>
      <c r="C27" s="82">
        <v>7477600</v>
      </c>
      <c r="D27" s="82">
        <v>22000000</v>
      </c>
      <c r="E27" s="83">
        <f t="shared" ref="E27:P27" si="33">SUM(E25:E26)</f>
        <v>84442500</v>
      </c>
      <c r="F27" s="83">
        <f t="shared" si="33"/>
        <v>103446270</v>
      </c>
      <c r="G27" s="83">
        <f t="shared" si="33"/>
        <v>122526055.07999998</v>
      </c>
      <c r="H27" s="83">
        <f t="shared" si="33"/>
        <v>141682159.30032003</v>
      </c>
      <c r="I27" s="83">
        <f t="shared" si="33"/>
        <v>160914887.93752122</v>
      </c>
      <c r="J27" s="83">
        <f t="shared" si="33"/>
        <v>180224547.48927128</v>
      </c>
      <c r="K27" s="83">
        <f t="shared" si="33"/>
        <v>199611445.67922843</v>
      </c>
      <c r="L27" s="83">
        <f t="shared" si="33"/>
        <v>219075891.4619453</v>
      </c>
      <c r="M27" s="83">
        <f t="shared" si="33"/>
        <v>238618195.02779305</v>
      </c>
      <c r="N27" s="83">
        <f t="shared" si="33"/>
        <v>258238667.80790424</v>
      </c>
      <c r="O27" s="83">
        <f t="shared" si="33"/>
        <v>277937622.47913587</v>
      </c>
      <c r="P27" s="83">
        <f t="shared" si="33"/>
        <v>297715372.96905231</v>
      </c>
      <c r="Q27" s="83">
        <f t="shared" si="31"/>
        <v>2284433615.232172</v>
      </c>
    </row>
    <row r="28" spans="1:17" hidden="1" outlineLevel="1">
      <c r="Q28" s="3"/>
    </row>
    <row r="29" spans="1:17" collapsed="1">
      <c r="Q29" s="3"/>
    </row>
    <row r="30" spans="1:17">
      <c r="A30" s="56" t="s">
        <v>78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6"/>
    </row>
    <row r="31" spans="1:17" hidden="1" outlineLevel="1">
      <c r="A31" t="s">
        <v>79</v>
      </c>
      <c r="C31" s="67">
        <v>2200000000</v>
      </c>
      <c r="D31" s="67">
        <v>2243477600</v>
      </c>
      <c r="E31" s="68">
        <f t="shared" ref="E31" si="34">D35</f>
        <v>2225877600</v>
      </c>
      <c r="F31" s="68">
        <f t="shared" ref="F31:P31" si="35">E35</f>
        <v>2254320100</v>
      </c>
      <c r="G31" s="68">
        <f t="shared" si="35"/>
        <v>2300166370</v>
      </c>
      <c r="H31" s="68">
        <f t="shared" si="35"/>
        <v>2365092425.0799999</v>
      </c>
      <c r="I31" s="68">
        <f t="shared" si="35"/>
        <v>2449174584.3803201</v>
      </c>
      <c r="J31" s="68">
        <f t="shared" si="35"/>
        <v>2552489472.3178415</v>
      </c>
      <c r="K31" s="68">
        <f t="shared" si="35"/>
        <v>2675114019.8071127</v>
      </c>
      <c r="L31" s="68">
        <f t="shared" si="35"/>
        <v>2817125465.486341</v>
      </c>
      <c r="M31" s="68">
        <f t="shared" si="35"/>
        <v>2978601356.9482861</v>
      </c>
      <c r="N31" s="68">
        <f t="shared" si="35"/>
        <v>3159619551.976079</v>
      </c>
      <c r="O31" s="68">
        <f t="shared" si="35"/>
        <v>3360258219.7839832</v>
      </c>
      <c r="P31" s="68">
        <f t="shared" si="35"/>
        <v>3580595842.2631192</v>
      </c>
      <c r="Q31" s="87">
        <f>E31</f>
        <v>2225877600</v>
      </c>
    </row>
    <row r="32" spans="1:17" hidden="1" outlineLevel="1">
      <c r="A32" t="s">
        <v>80</v>
      </c>
      <c r="C32" s="67">
        <v>7477600</v>
      </c>
      <c r="D32" s="67">
        <v>22000000</v>
      </c>
      <c r="E32" s="68">
        <f t="shared" ref="E32" si="36">E27</f>
        <v>84442500</v>
      </c>
      <c r="F32" s="68">
        <f t="shared" ref="F32:P32" si="37">F27</f>
        <v>103446270</v>
      </c>
      <c r="G32" s="68">
        <f t="shared" si="37"/>
        <v>122526055.07999998</v>
      </c>
      <c r="H32" s="68">
        <f t="shared" si="37"/>
        <v>141682159.30032003</v>
      </c>
      <c r="I32" s="68">
        <f t="shared" si="37"/>
        <v>160914887.93752122</v>
      </c>
      <c r="J32" s="68">
        <f t="shared" si="37"/>
        <v>180224547.48927128</v>
      </c>
      <c r="K32" s="68">
        <f t="shared" si="37"/>
        <v>199611445.67922843</v>
      </c>
      <c r="L32" s="68">
        <f t="shared" si="37"/>
        <v>219075891.4619453</v>
      </c>
      <c r="M32" s="68">
        <f t="shared" si="37"/>
        <v>238618195.02779305</v>
      </c>
      <c r="N32" s="68">
        <f t="shared" si="37"/>
        <v>258238667.80790424</v>
      </c>
      <c r="O32" s="68">
        <f t="shared" si="37"/>
        <v>277937622.47913587</v>
      </c>
      <c r="P32" s="68">
        <f t="shared" si="37"/>
        <v>297715372.96905231</v>
      </c>
      <c r="Q32" s="87">
        <f>SUM(E32:P32)</f>
        <v>2284433615.232172</v>
      </c>
    </row>
    <row r="33" spans="1:17" hidden="1" outlineLevel="1">
      <c r="A33" t="s">
        <v>81</v>
      </c>
      <c r="C33" s="67">
        <v>-36000000</v>
      </c>
      <c r="D33" s="67">
        <v>-39600000</v>
      </c>
      <c r="E33" s="68">
        <f>-E7*'Assumptions &amp; Data'!$B$96</f>
        <v>-56000000</v>
      </c>
      <c r="F33" s="68">
        <f>-F7*'Assumptions &amp; Data'!$B$96</f>
        <v>-57600000</v>
      </c>
      <c r="G33" s="68">
        <f>-G7*'Assumptions &amp; Data'!$B$96</f>
        <v>-57600000</v>
      </c>
      <c r="H33" s="68">
        <f>-H7*'Assumptions &amp; Data'!$B$96</f>
        <v>-57600000</v>
      </c>
      <c r="I33" s="68">
        <f>-I7*'Assumptions &amp; Data'!$B$96</f>
        <v>-57600000</v>
      </c>
      <c r="J33" s="68">
        <f>-J7*'Assumptions &amp; Data'!$B$96</f>
        <v>-57600000</v>
      </c>
      <c r="K33" s="68">
        <f>-K7*'Assumptions &amp; Data'!$B$96</f>
        <v>-57600000</v>
      </c>
      <c r="L33" s="68">
        <f>-L7*'Assumptions &amp; Data'!$B$96</f>
        <v>-57600000</v>
      </c>
      <c r="M33" s="68">
        <f>-M7*'Assumptions &amp; Data'!$B$96</f>
        <v>-57600000</v>
      </c>
      <c r="N33" s="68">
        <f>-N7*'Assumptions &amp; Data'!$B$96</f>
        <v>-57600000</v>
      </c>
      <c r="O33" s="68">
        <f>-O7*'Assumptions &amp; Data'!$B$96</f>
        <v>-57600000</v>
      </c>
      <c r="P33" s="68">
        <f>-P7*'Assumptions &amp; Data'!$B$96</f>
        <v>-57600000</v>
      </c>
      <c r="Q33" s="87">
        <f t="shared" ref="Q33:Q34" si="38">SUM(E33:P33)</f>
        <v>-689600000</v>
      </c>
    </row>
    <row r="34" spans="1:17" hidden="1" outlineLevel="1">
      <c r="A34" t="s">
        <v>82</v>
      </c>
      <c r="C34" s="67">
        <v>-28522400</v>
      </c>
      <c r="D34" s="67">
        <v>-17600000</v>
      </c>
      <c r="E34" s="68">
        <f>SUM(E32:E33)</f>
        <v>28442500</v>
      </c>
      <c r="F34" s="68">
        <f t="shared" ref="F34" si="39">SUM(F32:F33)</f>
        <v>45846270</v>
      </c>
      <c r="G34" s="68">
        <f>SUM(G32:G33)</f>
        <v>64926055.079999983</v>
      </c>
      <c r="H34" s="68">
        <f t="shared" ref="H34" si="40">SUM(H32:H33)</f>
        <v>84082159.300320029</v>
      </c>
      <c r="I34" s="68">
        <f t="shared" ref="I34" si="41">SUM(I32:I33)</f>
        <v>103314887.93752122</v>
      </c>
      <c r="J34" s="68">
        <f t="shared" ref="J34" si="42">SUM(J32:J33)</f>
        <v>122624547.48927128</v>
      </c>
      <c r="K34" s="68">
        <f t="shared" ref="K34" si="43">SUM(K32:K33)</f>
        <v>142011445.67922843</v>
      </c>
      <c r="L34" s="68">
        <f t="shared" ref="L34" si="44">SUM(L32:L33)</f>
        <v>161475891.4619453</v>
      </c>
      <c r="M34" s="68">
        <f t="shared" ref="M34" si="45">SUM(M32:M33)</f>
        <v>181018195.02779305</v>
      </c>
      <c r="N34" s="68">
        <f t="shared" ref="N34" si="46">SUM(N32:N33)</f>
        <v>200638667.80790424</v>
      </c>
      <c r="O34" s="68">
        <f t="shared" ref="O34" si="47">SUM(O32:O33)</f>
        <v>220337622.47913587</v>
      </c>
      <c r="P34" s="68">
        <f t="shared" ref="P34" si="48">SUM(P32:P33)</f>
        <v>240115372.96905231</v>
      </c>
      <c r="Q34" s="87">
        <f t="shared" si="38"/>
        <v>1594833615.232172</v>
      </c>
    </row>
    <row r="35" spans="1:17" hidden="1" outlineLevel="1">
      <c r="A35" s="3" t="s">
        <v>83</v>
      </c>
      <c r="C35" s="70">
        <v>2171477600</v>
      </c>
      <c r="D35" s="70">
        <v>2225877600</v>
      </c>
      <c r="E35" s="84">
        <f t="shared" ref="E35" si="49">E34+E31</f>
        <v>2254320100</v>
      </c>
      <c r="F35" s="84">
        <f t="shared" ref="F35" si="50">F34+F31</f>
        <v>2300166370</v>
      </c>
      <c r="G35" s="84">
        <f t="shared" ref="G35" si="51">G34+G31</f>
        <v>2365092425.0799999</v>
      </c>
      <c r="H35" s="84">
        <f t="shared" ref="H35" si="52">H34+H31</f>
        <v>2449174584.3803201</v>
      </c>
      <c r="I35" s="84">
        <f t="shared" ref="I35" si="53">I34+I31</f>
        <v>2552489472.3178415</v>
      </c>
      <c r="J35" s="84">
        <f t="shared" ref="J35" si="54">J34+J31</f>
        <v>2675114019.8071127</v>
      </c>
      <c r="K35" s="84">
        <f t="shared" ref="K35" si="55">K34+K31</f>
        <v>2817125465.486341</v>
      </c>
      <c r="L35" s="84">
        <f t="shared" ref="L35" si="56">L34+L31</f>
        <v>2978601356.9482861</v>
      </c>
      <c r="M35" s="84">
        <f t="shared" ref="M35" si="57">M34+M31</f>
        <v>3159619551.976079</v>
      </c>
      <c r="N35" s="84">
        <f t="shared" ref="N35" si="58">N34+N31</f>
        <v>3360258219.7839832</v>
      </c>
      <c r="O35" s="84">
        <f t="shared" ref="O35" si="59">O34+O31</f>
        <v>3580595842.2631192</v>
      </c>
      <c r="P35" s="84">
        <f t="shared" ref="P35" si="60">P34+P31</f>
        <v>3820711215.2321715</v>
      </c>
      <c r="Q35" s="84">
        <f>P35</f>
        <v>3820711215.2321715</v>
      </c>
    </row>
    <row r="36" spans="1:17" hidden="1" outlineLevel="1">
      <c r="Q36" s="3"/>
    </row>
    <row r="37" spans="1:17" hidden="1" outlineLevel="1">
      <c r="A37" s="3" t="s">
        <v>84</v>
      </c>
      <c r="C37" s="71">
        <v>-28522400</v>
      </c>
      <c r="D37" s="71">
        <v>-17600000</v>
      </c>
      <c r="E37" s="72">
        <f t="shared" ref="E37:P37" si="61">IF(E34&lt;0,E34,0)</f>
        <v>0</v>
      </c>
      <c r="F37" s="72">
        <f t="shared" si="61"/>
        <v>0</v>
      </c>
      <c r="G37" s="72">
        <f t="shared" si="61"/>
        <v>0</v>
      </c>
      <c r="H37" s="72">
        <f t="shared" si="61"/>
        <v>0</v>
      </c>
      <c r="I37" s="72">
        <f t="shared" si="61"/>
        <v>0</v>
      </c>
      <c r="J37" s="72">
        <f t="shared" si="61"/>
        <v>0</v>
      </c>
      <c r="K37" s="72">
        <f t="shared" si="61"/>
        <v>0</v>
      </c>
      <c r="L37" s="72">
        <f t="shared" si="61"/>
        <v>0</v>
      </c>
      <c r="M37" s="72">
        <f t="shared" si="61"/>
        <v>0</v>
      </c>
      <c r="N37" s="72">
        <f t="shared" si="61"/>
        <v>0</v>
      </c>
      <c r="O37" s="72">
        <f t="shared" si="61"/>
        <v>0</v>
      </c>
      <c r="P37" s="72">
        <f t="shared" si="61"/>
        <v>0</v>
      </c>
      <c r="Q37" s="85">
        <f>AVERAGE(E37:P37)</f>
        <v>0</v>
      </c>
    </row>
    <row r="38" spans="1:17" hidden="1" outlineLevel="1">
      <c r="Q38" s="3"/>
    </row>
    <row r="39" spans="1:17" collapsed="1">
      <c r="Q39" s="3"/>
    </row>
    <row r="40" spans="1:17">
      <c r="A40" s="56" t="s">
        <v>86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</row>
    <row r="41" spans="1:17" hidden="1" outlineLevel="1">
      <c r="A41" t="s">
        <v>87</v>
      </c>
      <c r="C41" s="67">
        <v>1800000</v>
      </c>
      <c r="D41" s="67">
        <v>1800000</v>
      </c>
      <c r="E41" s="68">
        <f>'Assumptions &amp; Data'!$B$96</f>
        <v>1600000</v>
      </c>
      <c r="F41" s="68">
        <f>'Assumptions &amp; Data'!$B$96</f>
        <v>1600000</v>
      </c>
      <c r="G41" s="68">
        <f>'Assumptions &amp; Data'!$B$96</f>
        <v>1600000</v>
      </c>
      <c r="H41" s="68">
        <f>'Assumptions &amp; Data'!$B$96</f>
        <v>1600000</v>
      </c>
      <c r="I41" s="68">
        <f>'Assumptions &amp; Data'!$B$96</f>
        <v>1600000</v>
      </c>
      <c r="J41" s="68">
        <f>'Assumptions &amp; Data'!$B$96</f>
        <v>1600000</v>
      </c>
      <c r="K41" s="68">
        <f>'Assumptions &amp; Data'!$B$96</f>
        <v>1600000</v>
      </c>
      <c r="L41" s="68">
        <f>'Assumptions &amp; Data'!$B$96</f>
        <v>1600000</v>
      </c>
      <c r="M41" s="68">
        <f>'Assumptions &amp; Data'!$B$96</f>
        <v>1600000</v>
      </c>
      <c r="N41" s="68">
        <f>'Assumptions &amp; Data'!$B$96</f>
        <v>1600000</v>
      </c>
      <c r="O41" s="68">
        <f>'Assumptions &amp; Data'!$B$96</f>
        <v>1600000</v>
      </c>
      <c r="P41" s="68">
        <f>'Assumptions &amp; Data'!$B$96</f>
        <v>1600000</v>
      </c>
      <c r="Q41" s="87">
        <f>AVERAGE(E41:P41)</f>
        <v>1600000</v>
      </c>
    </row>
    <row r="42" spans="1:17" hidden="1" outlineLevel="1">
      <c r="A42" t="s">
        <v>88</v>
      </c>
      <c r="C42" s="67">
        <v>568558.20105820103</v>
      </c>
      <c r="D42" s="67">
        <v>581395.34883720928</v>
      </c>
      <c r="E42" s="68">
        <f t="shared" ref="D42:P42" si="62">E18/E9</f>
        <v>603474.47073474468</v>
      </c>
      <c r="F42" s="68">
        <f t="shared" si="62"/>
        <v>612158.89555822324</v>
      </c>
      <c r="G42" s="68">
        <f t="shared" si="62"/>
        <v>621076.65132250579</v>
      </c>
      <c r="H42" s="68">
        <f t="shared" si="62"/>
        <v>629528.10968996631</v>
      </c>
      <c r="I42" s="68">
        <f t="shared" si="62"/>
        <v>637557.80860510329</v>
      </c>
      <c r="J42" s="68">
        <f t="shared" si="62"/>
        <v>645204.84368004394</v>
      </c>
      <c r="K42" s="68">
        <f t="shared" si="62"/>
        <v>653171.5396509429</v>
      </c>
      <c r="L42" s="68">
        <f t="shared" si="62"/>
        <v>660797.20260291256</v>
      </c>
      <c r="M42" s="68">
        <f t="shared" si="62"/>
        <v>668109.96454055258</v>
      </c>
      <c r="N42" s="68">
        <f t="shared" si="62"/>
        <v>675134.98939102003</v>
      </c>
      <c r="O42" s="68">
        <f t="shared" si="62"/>
        <v>681894.85458112753</v>
      </c>
      <c r="P42" s="68">
        <f t="shared" si="62"/>
        <v>689026.72995107807</v>
      </c>
      <c r="Q42" s="87">
        <f t="shared" ref="Q42:Q46" si="63">AVERAGE(E42:P42)</f>
        <v>648094.67169235169</v>
      </c>
    </row>
    <row r="43" spans="1:17" hidden="1" outlineLevel="1">
      <c r="A43" t="s">
        <v>16</v>
      </c>
      <c r="C43" s="64">
        <v>0.72</v>
      </c>
      <c r="D43" s="64">
        <v>0.72</v>
      </c>
      <c r="E43" s="73">
        <f>'Assumptions &amp; Data'!$B$95</f>
        <v>0.75</v>
      </c>
      <c r="F43" s="73">
        <f>'Assumptions &amp; Data'!$B$95</f>
        <v>0.75</v>
      </c>
      <c r="G43" s="73">
        <f>'Assumptions &amp; Data'!$B$95</f>
        <v>0.75</v>
      </c>
      <c r="H43" s="73">
        <f>'Assumptions &amp; Data'!$B$95</f>
        <v>0.75</v>
      </c>
      <c r="I43" s="73">
        <f>'Assumptions &amp; Data'!$B$95</f>
        <v>0.75</v>
      </c>
      <c r="J43" s="73">
        <f>'Assumptions &amp; Data'!$B$95</f>
        <v>0.75</v>
      </c>
      <c r="K43" s="73">
        <f>'Assumptions &amp; Data'!$B$95</f>
        <v>0.75</v>
      </c>
      <c r="L43" s="73">
        <f>'Assumptions &amp; Data'!$B$95</f>
        <v>0.75</v>
      </c>
      <c r="M43" s="73">
        <f>'Assumptions &amp; Data'!$B$95</f>
        <v>0.75</v>
      </c>
      <c r="N43" s="73">
        <f>'Assumptions &amp; Data'!$B$95</f>
        <v>0.75</v>
      </c>
      <c r="O43" s="73">
        <f>'Assumptions &amp; Data'!$B$95</f>
        <v>0.75</v>
      </c>
      <c r="P43" s="73">
        <f>'Assumptions &amp; Data'!$B$95</f>
        <v>0.75</v>
      </c>
      <c r="Q43" s="88">
        <f t="shared" si="63"/>
        <v>0.75</v>
      </c>
    </row>
    <row r="44" spans="1:17" hidden="1" outlineLevel="1">
      <c r="A44" t="s">
        <v>89</v>
      </c>
      <c r="C44" s="67">
        <v>34113492.06349206</v>
      </c>
      <c r="D44" s="67">
        <v>34883720.930232555</v>
      </c>
      <c r="E44" s="68">
        <f>E42*E43/('Assumptions &amp; Data'!$B$93)</f>
        <v>56575731.631382309</v>
      </c>
      <c r="F44" s="68">
        <f>F42*F43/('Assumptions &amp; Data'!$B$93)</f>
        <v>57389896.458583429</v>
      </c>
      <c r="G44" s="68">
        <f>G42*G43/('Assumptions &amp; Data'!$B$93)</f>
        <v>58225936.061484911</v>
      </c>
      <c r="H44" s="68">
        <f>H42*H43/('Assumptions &amp; Data'!$B$93)</f>
        <v>59018260.283434339</v>
      </c>
      <c r="I44" s="68">
        <f>I42*I43/('Assumptions &amp; Data'!$B$93)</f>
        <v>59771044.55672843</v>
      </c>
      <c r="J44" s="68">
        <f>J42*J43/('Assumptions &amp; Data'!$B$93)</f>
        <v>60487954.095004119</v>
      </c>
      <c r="K44" s="68">
        <f>K42*K43/('Assumptions &amp; Data'!$B$93)</f>
        <v>61234831.842275895</v>
      </c>
      <c r="L44" s="68">
        <f>L42*L43/('Assumptions &amp; Data'!$B$93)</f>
        <v>61949737.744023047</v>
      </c>
      <c r="M44" s="68">
        <f>M42*M43/('Assumptions &amp; Data'!$B$93)</f>
        <v>62635309.1756768</v>
      </c>
      <c r="N44" s="68">
        <f>N42*N43/('Assumptions &amp; Data'!$B$93)</f>
        <v>63293905.255408123</v>
      </c>
      <c r="O44" s="68">
        <f>O42*O43/('Assumptions &amp; Data'!$B$93)</f>
        <v>63927642.616980709</v>
      </c>
      <c r="P44" s="68">
        <f>P42*P43/('Assumptions &amp; Data'!$B$93)</f>
        <v>64596255.932913572</v>
      </c>
      <c r="Q44" s="87">
        <f t="shared" si="63"/>
        <v>60758875.471157968</v>
      </c>
    </row>
    <row r="45" spans="1:17" hidden="1" outlineLevel="1">
      <c r="A45" t="s">
        <v>90</v>
      </c>
      <c r="C45" s="75">
        <v>18.951940035273367</v>
      </c>
      <c r="D45" s="75">
        <v>19.379844961240309</v>
      </c>
      <c r="E45" s="74">
        <f t="shared" ref="D45:P45" si="64">E44/E41</f>
        <v>35.359832269613946</v>
      </c>
      <c r="F45" s="74">
        <f t="shared" si="64"/>
        <v>35.868685286614642</v>
      </c>
      <c r="G45" s="74">
        <f t="shared" si="64"/>
        <v>36.391210038428071</v>
      </c>
      <c r="H45" s="74">
        <f t="shared" si="64"/>
        <v>36.88641267714646</v>
      </c>
      <c r="I45" s="74">
        <f t="shared" si="64"/>
        <v>37.356902847955268</v>
      </c>
      <c r="J45" s="74">
        <f t="shared" si="64"/>
        <v>37.804971309377578</v>
      </c>
      <c r="K45" s="74">
        <f t="shared" si="64"/>
        <v>38.271769901422438</v>
      </c>
      <c r="L45" s="74">
        <f t="shared" si="64"/>
        <v>38.718586090014405</v>
      </c>
      <c r="M45" s="74">
        <f t="shared" si="64"/>
        <v>39.147068234797999</v>
      </c>
      <c r="N45" s="74">
        <f t="shared" si="64"/>
        <v>39.55869078463008</v>
      </c>
      <c r="O45" s="74">
        <f t="shared" si="64"/>
        <v>39.954776635612944</v>
      </c>
      <c r="P45" s="74">
        <f t="shared" si="64"/>
        <v>40.372659958070983</v>
      </c>
      <c r="Q45" s="89">
        <f t="shared" si="63"/>
        <v>37.974297169473729</v>
      </c>
    </row>
    <row r="46" spans="1:17" hidden="1" outlineLevel="1">
      <c r="A46" t="s">
        <v>91</v>
      </c>
      <c r="C46" s="76">
        <v>4.3970872205290465</v>
      </c>
      <c r="D46" s="76">
        <v>4.3000000000000007</v>
      </c>
      <c r="E46" s="77">
        <f t="shared" ref="D46:P46" si="65">E41/(E42*E43)</f>
        <v>3.5350846419997666</v>
      </c>
      <c r="F46" s="77">
        <f t="shared" si="65"/>
        <v>3.4849339751698976</v>
      </c>
      <c r="G46" s="77">
        <f t="shared" si="65"/>
        <v>3.43489540105986</v>
      </c>
      <c r="H46" s="77">
        <f t="shared" si="65"/>
        <v>3.3887816929794758</v>
      </c>
      <c r="I46" s="77">
        <f t="shared" si="65"/>
        <v>3.3461018036949461</v>
      </c>
      <c r="J46" s="77">
        <f t="shared" si="65"/>
        <v>3.3064434562603036</v>
      </c>
      <c r="K46" s="77">
        <f t="shared" si="65"/>
        <v>3.2661149542329935</v>
      </c>
      <c r="L46" s="77">
        <f t="shared" si="65"/>
        <v>3.2284236751154953</v>
      </c>
      <c r="M46" s="77">
        <f t="shared" si="65"/>
        <v>3.1930871361878115</v>
      </c>
      <c r="N46" s="77">
        <f t="shared" si="65"/>
        <v>3.1598619044431779</v>
      </c>
      <c r="O46" s="77">
        <f t="shared" si="65"/>
        <v>3.1285370743027401</v>
      </c>
      <c r="P46" s="77">
        <f t="shared" si="65"/>
        <v>3.0961546781861471</v>
      </c>
      <c r="Q46" s="90">
        <f t="shared" si="63"/>
        <v>3.2973683661360513</v>
      </c>
    </row>
    <row r="47" spans="1:17" hidden="1" outlineLevel="1">
      <c r="Q47" s="3"/>
    </row>
    <row r="48" spans="1:17" collapsed="1">
      <c r="Q48" s="3"/>
    </row>
    <row r="49" spans="1:17">
      <c r="A49" s="56" t="s">
        <v>92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</row>
    <row r="50" spans="1:17" hidden="1" outlineLevel="1">
      <c r="A50" t="s">
        <v>93</v>
      </c>
      <c r="C50" s="78" t="s">
        <v>77</v>
      </c>
      <c r="D50" s="64">
        <f>(D18-C18)/C18</f>
        <v>4.6925528697391992E-2</v>
      </c>
      <c r="E50" s="16">
        <f t="shared" ref="E50:P50" si="66">(E18-D18)/D18</f>
        <v>7.6866666666666666E-2</v>
      </c>
      <c r="F50" s="16">
        <f t="shared" si="66"/>
        <v>5.2288243669906517E-2</v>
      </c>
      <c r="G50" s="16">
        <f t="shared" si="66"/>
        <v>4.9888798967760876E-2</v>
      </c>
      <c r="H50" s="16">
        <f t="shared" si="66"/>
        <v>4.7708247018996917E-2</v>
      </c>
      <c r="I50" s="16">
        <f t="shared" si="66"/>
        <v>4.5717956447663931E-2</v>
      </c>
      <c r="J50" s="16">
        <f t="shared" si="66"/>
        <v>4.3894080607911848E-2</v>
      </c>
      <c r="K50" s="16">
        <f t="shared" si="66"/>
        <v>4.2216598167392261E-2</v>
      </c>
      <c r="L50" s="16">
        <f t="shared" si="66"/>
        <v>4.0668575644056418E-2</v>
      </c>
      <c r="M50" s="16">
        <f t="shared" si="66"/>
        <v>3.9235594215346302E-2</v>
      </c>
      <c r="N50" s="16">
        <f t="shared" si="66"/>
        <v>3.7905299637037738E-2</v>
      </c>
      <c r="O50" s="16">
        <f t="shared" si="66"/>
        <v>3.6667045489501587E-2</v>
      </c>
      <c r="P50" s="16">
        <f t="shared" si="66"/>
        <v>3.5511607928152535E-2</v>
      </c>
      <c r="Q50" s="91">
        <f t="shared" ref="Q50:Q54" si="67">AVERAGE(E50:P50)</f>
        <v>4.5714059538366131E-2</v>
      </c>
    </row>
    <row r="51" spans="1:17" hidden="1" outlineLevel="1">
      <c r="A51" t="s">
        <v>94</v>
      </c>
      <c r="C51" s="64">
        <f>(C18+C15-C16)/C13</f>
        <v>1.0253571428571429</v>
      </c>
      <c r="D51" s="64">
        <f>(D18+D15-D16)/D13</f>
        <v>1.0488797896842939</v>
      </c>
      <c r="E51" s="16">
        <f t="shared" ref="E51:P51" si="68">(E18+E15-E16)/E13</f>
        <v>1.0734565217391305</v>
      </c>
      <c r="F51" s="16">
        <f t="shared" si="68"/>
        <v>1.0722882436699066</v>
      </c>
      <c r="G51" s="16">
        <f t="shared" si="68"/>
        <v>1.0698887989677608</v>
      </c>
      <c r="H51" s="16">
        <f t="shared" si="68"/>
        <v>1.0677082470189969</v>
      </c>
      <c r="I51" s="16">
        <f t="shared" si="68"/>
        <v>1.065717956447664</v>
      </c>
      <c r="J51" s="16">
        <f t="shared" si="68"/>
        <v>1.0638940806079118</v>
      </c>
      <c r="K51" s="16">
        <f t="shared" si="68"/>
        <v>1.0622165981673921</v>
      </c>
      <c r="L51" s="16">
        <f t="shared" si="68"/>
        <v>1.0606685756440564</v>
      </c>
      <c r="M51" s="16">
        <f t="shared" si="68"/>
        <v>1.0592355942153464</v>
      </c>
      <c r="N51" s="16">
        <f t="shared" si="68"/>
        <v>1.0579052996370377</v>
      </c>
      <c r="O51" s="16">
        <f t="shared" si="68"/>
        <v>1.0566670454895017</v>
      </c>
      <c r="P51" s="16">
        <f t="shared" si="68"/>
        <v>1.0555116079281526</v>
      </c>
      <c r="Q51" s="91">
        <f t="shared" si="67"/>
        <v>1.0637632141277382</v>
      </c>
    </row>
    <row r="52" spans="1:17" hidden="1" outlineLevel="1">
      <c r="A52" t="s">
        <v>95</v>
      </c>
      <c r="C52" s="64">
        <f>'Assumptions &amp; Data'!$B$93</f>
        <v>8.0000000000000002E-3</v>
      </c>
      <c r="D52" s="64">
        <f>'Assumptions &amp; Data'!$B$93</f>
        <v>8.0000000000000002E-3</v>
      </c>
      <c r="E52" s="16">
        <f>'Assumptions &amp; Data'!$B$93</f>
        <v>8.0000000000000002E-3</v>
      </c>
      <c r="F52" s="16">
        <f>'Assumptions &amp; Data'!$B$93</f>
        <v>8.0000000000000002E-3</v>
      </c>
      <c r="G52" s="16">
        <f>'Assumptions &amp; Data'!$B$93</f>
        <v>8.0000000000000002E-3</v>
      </c>
      <c r="H52" s="16">
        <f>'Assumptions &amp; Data'!$B$93</f>
        <v>8.0000000000000002E-3</v>
      </c>
      <c r="I52" s="16">
        <f>'Assumptions &amp; Data'!$B$93</f>
        <v>8.0000000000000002E-3</v>
      </c>
      <c r="J52" s="16">
        <f>'Assumptions &amp; Data'!$B$93</f>
        <v>8.0000000000000002E-3</v>
      </c>
      <c r="K52" s="16">
        <f>'Assumptions &amp; Data'!$B$93</f>
        <v>8.0000000000000002E-3</v>
      </c>
      <c r="L52" s="16">
        <f>'Assumptions &amp; Data'!$B$93</f>
        <v>8.0000000000000002E-3</v>
      </c>
      <c r="M52" s="16">
        <f>'Assumptions &amp; Data'!$B$93</f>
        <v>8.0000000000000002E-3</v>
      </c>
      <c r="N52" s="16">
        <f>'Assumptions &amp; Data'!$B$93</f>
        <v>8.0000000000000002E-3</v>
      </c>
      <c r="O52" s="16">
        <f>'Assumptions &amp; Data'!$B$93</f>
        <v>8.0000000000000002E-3</v>
      </c>
      <c r="P52" s="16">
        <f>'Assumptions &amp; Data'!$B$93</f>
        <v>8.0000000000000002E-3</v>
      </c>
      <c r="Q52" s="91">
        <f t="shared" si="67"/>
        <v>8.0000000000000019E-3</v>
      </c>
    </row>
    <row r="53" spans="1:17" hidden="1" outlineLevel="1">
      <c r="A53" t="s">
        <v>96</v>
      </c>
      <c r="C53" s="6">
        <f>'Assumptions &amp; Data'!B93-'Assumptions &amp; Data'!B94</f>
        <v>-4.0000000000000001E-3</v>
      </c>
      <c r="D53" s="6">
        <f>'Assumptions &amp; Data'!C93-'Assumptions &amp; Data'!C94</f>
        <v>0</v>
      </c>
      <c r="E53" s="16">
        <f>'Assumptions &amp; Data'!D93-'Assumptions &amp; Data'!D94</f>
        <v>0</v>
      </c>
      <c r="F53" s="16">
        <f>'Assumptions &amp; Data'!E93-'Assumptions &amp; Data'!E94</f>
        <v>0</v>
      </c>
      <c r="G53" s="16">
        <f>'Assumptions &amp; Data'!F93-'Assumptions &amp; Data'!F94</f>
        <v>0</v>
      </c>
      <c r="H53" s="16">
        <f>'Assumptions &amp; Data'!G93-'Assumptions &amp; Data'!G94</f>
        <v>0</v>
      </c>
      <c r="I53" s="16">
        <f>'Assumptions &amp; Data'!H93-'Assumptions &amp; Data'!H94</f>
        <v>0</v>
      </c>
      <c r="J53" s="16">
        <f>'Assumptions &amp; Data'!I93-'Assumptions &amp; Data'!I94</f>
        <v>0</v>
      </c>
      <c r="K53" s="16">
        <f>'Assumptions &amp; Data'!J93-'Assumptions &amp; Data'!J94</f>
        <v>0</v>
      </c>
      <c r="L53" s="16">
        <f>'Assumptions &amp; Data'!K93-'Assumptions &amp; Data'!K94</f>
        <v>0</v>
      </c>
      <c r="M53" s="16">
        <f>'Assumptions &amp; Data'!L93-'Assumptions &amp; Data'!L94</f>
        <v>0</v>
      </c>
      <c r="N53" s="16">
        <f>'Assumptions &amp; Data'!M93-'Assumptions &amp; Data'!M94</f>
        <v>0</v>
      </c>
      <c r="O53" s="16">
        <f>'Assumptions &amp; Data'!N93-'Assumptions &amp; Data'!N94</f>
        <v>0</v>
      </c>
      <c r="P53" s="16">
        <f>'Assumptions &amp; Data'!O93-'Assumptions &amp; Data'!O94</f>
        <v>0</v>
      </c>
      <c r="Q53" s="91">
        <f t="shared" si="67"/>
        <v>0</v>
      </c>
    </row>
    <row r="54" spans="1:17" hidden="1" outlineLevel="1">
      <c r="A54" t="s">
        <v>97</v>
      </c>
      <c r="C54" s="79">
        <f>(C14+C15)/-C16</f>
        <v>20.858585858585858</v>
      </c>
      <c r="D54" s="79">
        <f>(D14+D15)/-D16</f>
        <v>21.235294117647058</v>
      </c>
      <c r="E54" s="77">
        <f t="shared" ref="E54:P54" si="69">(E14+E15)/-E16</f>
        <v>7.6820652173913047</v>
      </c>
      <c r="F54" s="77">
        <f t="shared" si="69"/>
        <v>7.5360304587383151</v>
      </c>
      <c r="G54" s="77">
        <f t="shared" si="69"/>
        <v>7.2360998709701105</v>
      </c>
      <c r="H54" s="77">
        <f t="shared" si="69"/>
        <v>6.9635308773746134</v>
      </c>
      <c r="I54" s="77">
        <f t="shared" si="69"/>
        <v>6.714744555958001</v>
      </c>
      <c r="J54" s="77">
        <f t="shared" si="69"/>
        <v>6.4867600759889861</v>
      </c>
      <c r="K54" s="77">
        <f t="shared" si="69"/>
        <v>6.2770747709240258</v>
      </c>
      <c r="L54" s="77">
        <f t="shared" si="69"/>
        <v>6.0835719555070558</v>
      </c>
      <c r="M54" s="77">
        <f t="shared" si="69"/>
        <v>5.9044492769182941</v>
      </c>
      <c r="N54" s="77">
        <f t="shared" si="69"/>
        <v>5.7381624546297259</v>
      </c>
      <c r="O54" s="77">
        <f t="shared" si="69"/>
        <v>5.5833806861876889</v>
      </c>
      <c r="P54" s="77">
        <f t="shared" si="69"/>
        <v>5.438950991019075</v>
      </c>
      <c r="Q54" s="90">
        <f t="shared" si="67"/>
        <v>6.4704017659672663</v>
      </c>
    </row>
    <row r="55" spans="1:17" hidden="1" outlineLevel="1">
      <c r="Q55" s="3"/>
    </row>
    <row r="56" spans="1:17" hidden="1" outlineLevel="1">
      <c r="A56" s="80" t="s">
        <v>98</v>
      </c>
      <c r="C56" s="26">
        <f>IF(C34&lt;0,C35/(-C34),"Cash Positive")</f>
        <v>76.132359128264099</v>
      </c>
      <c r="D56" s="26">
        <f t="shared" ref="D56:P56" si="70">IF(D34&lt;0,D35/(-D34),"Cash Positive")</f>
        <v>126.47031818181819</v>
      </c>
      <c r="E56" s="26" t="str">
        <f t="shared" si="70"/>
        <v>Cash Positive</v>
      </c>
      <c r="F56" s="26" t="str">
        <f t="shared" si="70"/>
        <v>Cash Positive</v>
      </c>
      <c r="G56" s="18" t="str">
        <f t="shared" si="70"/>
        <v>Cash Positive</v>
      </c>
      <c r="H56" s="18" t="str">
        <f t="shared" si="70"/>
        <v>Cash Positive</v>
      </c>
      <c r="I56" s="18" t="str">
        <f t="shared" si="70"/>
        <v>Cash Positive</v>
      </c>
      <c r="J56" s="18" t="str">
        <f t="shared" si="70"/>
        <v>Cash Positive</v>
      </c>
      <c r="K56" s="18" t="str">
        <f t="shared" si="70"/>
        <v>Cash Positive</v>
      </c>
      <c r="L56" s="18" t="str">
        <f t="shared" si="70"/>
        <v>Cash Positive</v>
      </c>
      <c r="M56" s="18" t="str">
        <f t="shared" si="70"/>
        <v>Cash Positive</v>
      </c>
      <c r="N56" s="18" t="str">
        <f t="shared" si="70"/>
        <v>Cash Positive</v>
      </c>
      <c r="O56" s="18" t="str">
        <f t="shared" si="70"/>
        <v>Cash Positive</v>
      </c>
      <c r="P56" s="18" t="str">
        <f t="shared" si="70"/>
        <v>Cash Positive</v>
      </c>
      <c r="Q56" s="92" t="str">
        <f>P56</f>
        <v>Cash Positive</v>
      </c>
    </row>
    <row r="57" spans="1:17" hidden="1" outlineLevel="1"/>
    <row r="58" spans="1:17" collapsed="1"/>
  </sheetData>
  <dataConsolidate/>
  <pageMargins left="0.7" right="0.7" top="0.75" bottom="0.75" header="0.3" footer="0.3"/>
  <ignoredErrors>
    <ignoredError sqref="E26:P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FB08-D6E0-496A-A54E-EBFEE09EBD1A}">
  <sheetPr codeName="Sheet4"/>
  <dimension ref="A2:E117"/>
  <sheetViews>
    <sheetView showGridLines="0" zoomScale="76" workbookViewId="0">
      <selection activeCell="H10" sqref="H10"/>
    </sheetView>
  </sheetViews>
  <sheetFormatPr defaultRowHeight="15.6"/>
  <cols>
    <col min="1" max="1" width="32.5" bestFit="1" customWidth="1"/>
    <col min="2" max="2" width="15.8984375" bestFit="1" customWidth="1"/>
    <col min="3" max="3" width="34.8984375" bestFit="1" customWidth="1"/>
    <col min="4" max="4" width="12.296875" hidden="1" customWidth="1"/>
    <col min="5" max="5" width="0" hidden="1" customWidth="1"/>
  </cols>
  <sheetData>
    <row r="2" spans="1:5" ht="21.6" thickBot="1">
      <c r="A2" s="63" t="s">
        <v>219</v>
      </c>
      <c r="B2" s="62"/>
      <c r="C2" s="62"/>
      <c r="E2" s="69" t="s">
        <v>227</v>
      </c>
    </row>
    <row r="3" spans="1:5">
      <c r="A3" s="43"/>
      <c r="B3" s="43"/>
      <c r="C3" s="43"/>
      <c r="D3" s="3" t="s">
        <v>240</v>
      </c>
      <c r="E3" s="7">
        <v>1</v>
      </c>
    </row>
    <row r="4" spans="1:5">
      <c r="A4" s="2" t="s">
        <v>0</v>
      </c>
      <c r="B4" s="2"/>
      <c r="C4" s="2"/>
      <c r="D4" s="3" t="s">
        <v>241</v>
      </c>
      <c r="E4" s="7">
        <v>2</v>
      </c>
    </row>
    <row r="5" spans="1:5">
      <c r="A5" s="4" t="s">
        <v>1</v>
      </c>
      <c r="B5" s="4" t="s">
        <v>2</v>
      </c>
      <c r="C5" s="4" t="s">
        <v>3</v>
      </c>
      <c r="D5" s="3" t="s">
        <v>242</v>
      </c>
      <c r="E5" s="7">
        <v>3</v>
      </c>
    </row>
    <row r="6" spans="1:5">
      <c r="A6" t="s">
        <v>232</v>
      </c>
      <c r="B6" s="100">
        <v>450000000</v>
      </c>
      <c r="C6" s="101" t="s">
        <v>5</v>
      </c>
      <c r="D6">
        <f>VLOOKUP('Exeutive Dashboard'!I3,'Assumptions &amp; Data'!D3:E5,2,FALSE)</f>
        <v>3</v>
      </c>
    </row>
    <row r="7" spans="1:5">
      <c r="A7" t="s">
        <v>6</v>
      </c>
      <c r="B7" s="5">
        <v>25</v>
      </c>
      <c r="C7" s="101" t="s">
        <v>7</v>
      </c>
    </row>
    <row r="8" spans="1:5">
      <c r="A8" t="s">
        <v>8</v>
      </c>
      <c r="B8" s="6">
        <v>2.5000000000000001E-2</v>
      </c>
      <c r="C8" s="101" t="s">
        <v>9</v>
      </c>
    </row>
    <row r="9" spans="1:5">
      <c r="A9" t="s">
        <v>10</v>
      </c>
      <c r="B9" s="100">
        <v>600000</v>
      </c>
      <c r="C9" s="101" t="s">
        <v>11</v>
      </c>
    </row>
    <row r="10" spans="1:5">
      <c r="A10" t="s">
        <v>12</v>
      </c>
      <c r="B10" s="6">
        <v>1.2E-2</v>
      </c>
      <c r="C10" s="101" t="s">
        <v>13</v>
      </c>
    </row>
    <row r="11" spans="1:5">
      <c r="A11" t="s">
        <v>14</v>
      </c>
      <c r="B11" s="6">
        <v>8.0000000000000002E-3</v>
      </c>
      <c r="C11" s="101" t="s">
        <v>15</v>
      </c>
    </row>
    <row r="12" spans="1:5">
      <c r="A12" t="s">
        <v>16</v>
      </c>
      <c r="B12" s="64">
        <v>0.72</v>
      </c>
      <c r="C12" s="101" t="s">
        <v>17</v>
      </c>
    </row>
    <row r="13" spans="1:5">
      <c r="A13" t="s">
        <v>18</v>
      </c>
      <c r="B13" s="100">
        <v>1800000</v>
      </c>
      <c r="C13" s="101" t="s">
        <v>19</v>
      </c>
    </row>
    <row r="14" spans="1:5">
      <c r="A14" t="s">
        <v>20</v>
      </c>
      <c r="B14" s="100">
        <v>2200000000</v>
      </c>
      <c r="C14" s="101" t="s">
        <v>21</v>
      </c>
    </row>
    <row r="15" spans="1:5">
      <c r="A15" t="s">
        <v>22</v>
      </c>
      <c r="B15" s="6">
        <v>1.4999999999999999E-2</v>
      </c>
      <c r="C15" s="101" t="s">
        <v>23</v>
      </c>
    </row>
    <row r="16" spans="1:5">
      <c r="A16" t="s">
        <v>24</v>
      </c>
      <c r="B16" s="5">
        <v>750</v>
      </c>
      <c r="C16" s="101" t="s">
        <v>25</v>
      </c>
    </row>
    <row r="17" spans="1:4">
      <c r="A17" t="s">
        <v>26</v>
      </c>
      <c r="B17" s="5">
        <v>6</v>
      </c>
      <c r="C17" s="101" t="s">
        <v>27</v>
      </c>
    </row>
    <row r="19" spans="1:4">
      <c r="A19" s="2" t="s">
        <v>28</v>
      </c>
      <c r="B19" s="2"/>
      <c r="C19" s="2"/>
    </row>
    <row r="20" spans="1:4">
      <c r="A20" s="4" t="s">
        <v>29</v>
      </c>
      <c r="B20" s="4" t="s">
        <v>229</v>
      </c>
      <c r="C20" s="4" t="s">
        <v>3</v>
      </c>
    </row>
    <row r="21" spans="1:4">
      <c r="A21" t="s">
        <v>31</v>
      </c>
      <c r="B21" s="100">
        <v>95000000</v>
      </c>
      <c r="C21" s="101" t="s">
        <v>243</v>
      </c>
    </row>
    <row r="22" spans="1:4">
      <c r="A22" t="s">
        <v>33</v>
      </c>
      <c r="B22" s="100">
        <v>120000000</v>
      </c>
      <c r="C22" s="101" t="s">
        <v>34</v>
      </c>
    </row>
    <row r="23" spans="1:4">
      <c r="A23" t="s">
        <v>35</v>
      </c>
      <c r="B23" s="100">
        <v>35000000</v>
      </c>
      <c r="C23" s="101" t="s">
        <v>36</v>
      </c>
    </row>
    <row r="24" spans="1:4">
      <c r="A24" t="s">
        <v>37</v>
      </c>
      <c r="B24" s="100">
        <v>22000000</v>
      </c>
      <c r="C24" s="101" t="s">
        <v>38</v>
      </c>
      <c r="D24" s="65"/>
    </row>
    <row r="25" spans="1:4">
      <c r="A25" t="s">
        <v>39</v>
      </c>
      <c r="B25" s="100">
        <v>18000000</v>
      </c>
      <c r="C25" s="101" t="s">
        <v>40</v>
      </c>
    </row>
    <row r="26" spans="1:4">
      <c r="A26" t="s">
        <v>41</v>
      </c>
      <c r="B26" s="100">
        <v>12000000</v>
      </c>
      <c r="C26" s="101" t="s">
        <v>42</v>
      </c>
    </row>
    <row r="27" spans="1:4">
      <c r="A27" s="3" t="s">
        <v>43</v>
      </c>
      <c r="B27" s="100">
        <f>SUM(B21:B26)</f>
        <v>302000000</v>
      </c>
    </row>
    <row r="28" spans="1:4">
      <c r="A28" s="3"/>
      <c r="B28" s="34"/>
    </row>
    <row r="30" spans="1:4" ht="21.6" thickBot="1">
      <c r="A30" s="63" t="s">
        <v>220</v>
      </c>
      <c r="B30" s="62"/>
      <c r="C30" s="62"/>
    </row>
    <row r="31" spans="1:4">
      <c r="A31" s="43"/>
      <c r="B31" s="43"/>
      <c r="C31" s="43"/>
    </row>
    <row r="32" spans="1:4">
      <c r="A32" s="2" t="s">
        <v>0</v>
      </c>
      <c r="B32" s="2"/>
      <c r="C32" s="2"/>
    </row>
    <row r="33" spans="1:3">
      <c r="A33" s="4" t="s">
        <v>1</v>
      </c>
      <c r="B33" s="4" t="s">
        <v>2</v>
      </c>
      <c r="C33" s="4" t="s">
        <v>3</v>
      </c>
    </row>
    <row r="34" spans="1:3">
      <c r="A34" t="s">
        <v>232</v>
      </c>
      <c r="B34" s="100">
        <v>430000000</v>
      </c>
      <c r="C34" s="101" t="s">
        <v>5</v>
      </c>
    </row>
    <row r="35" spans="1:3">
      <c r="A35" t="s">
        <v>6</v>
      </c>
      <c r="B35" s="5">
        <v>15</v>
      </c>
      <c r="C35" s="101" t="s">
        <v>7</v>
      </c>
    </row>
    <row r="36" spans="1:3">
      <c r="A36" t="s">
        <v>8</v>
      </c>
      <c r="B36" s="6">
        <v>1.2E-2</v>
      </c>
      <c r="C36" s="101" t="s">
        <v>9</v>
      </c>
    </row>
    <row r="37" spans="1:3">
      <c r="A37" t="s">
        <v>10</v>
      </c>
      <c r="B37" s="100">
        <v>550000</v>
      </c>
      <c r="C37" s="101" t="s">
        <v>11</v>
      </c>
    </row>
    <row r="38" spans="1:3">
      <c r="A38" t="s">
        <v>12</v>
      </c>
      <c r="B38" s="64">
        <v>0.02</v>
      </c>
      <c r="C38" s="101" t="s">
        <v>13</v>
      </c>
    </row>
    <row r="39" spans="1:3">
      <c r="A39" t="s">
        <v>14</v>
      </c>
      <c r="B39" s="107">
        <v>4.0000000000000001E-3</v>
      </c>
      <c r="C39" s="101" t="s">
        <v>15</v>
      </c>
    </row>
    <row r="40" spans="1:3">
      <c r="A40" t="s">
        <v>16</v>
      </c>
      <c r="B40" s="64">
        <v>0.68</v>
      </c>
      <c r="C40" s="101" t="s">
        <v>17</v>
      </c>
    </row>
    <row r="41" spans="1:3">
      <c r="A41" t="s">
        <v>18</v>
      </c>
      <c r="B41" s="100">
        <v>2000000</v>
      </c>
      <c r="C41" s="101" t="s">
        <v>19</v>
      </c>
    </row>
    <row r="42" spans="1:3">
      <c r="A42" t="s">
        <v>20</v>
      </c>
      <c r="B42" s="100">
        <v>2200000000</v>
      </c>
      <c r="C42" s="101" t="s">
        <v>21</v>
      </c>
    </row>
    <row r="43" spans="1:3">
      <c r="A43" t="s">
        <v>22</v>
      </c>
      <c r="B43" s="6">
        <v>8.0000000000000002E-3</v>
      </c>
      <c r="C43" s="101" t="s">
        <v>23</v>
      </c>
    </row>
    <row r="44" spans="1:3">
      <c r="A44" t="s">
        <v>24</v>
      </c>
      <c r="B44" s="5">
        <v>720</v>
      </c>
      <c r="C44" s="101" t="s">
        <v>25</v>
      </c>
    </row>
    <row r="45" spans="1:3">
      <c r="A45" t="s">
        <v>26</v>
      </c>
      <c r="B45" s="5">
        <v>8</v>
      </c>
      <c r="C45" s="101" t="s">
        <v>27</v>
      </c>
    </row>
    <row r="47" spans="1:3">
      <c r="A47" s="2" t="s">
        <v>28</v>
      </c>
      <c r="B47" s="2"/>
      <c r="C47" s="2"/>
    </row>
    <row r="48" spans="1:3">
      <c r="A48" s="4" t="s">
        <v>29</v>
      </c>
      <c r="B48" s="4" t="s">
        <v>231</v>
      </c>
      <c r="C48" s="4" t="s">
        <v>3</v>
      </c>
    </row>
    <row r="49" spans="1:3">
      <c r="A49" t="s">
        <v>31</v>
      </c>
      <c r="B49" s="100">
        <v>100000000</v>
      </c>
      <c r="C49" s="101" t="s">
        <v>244</v>
      </c>
    </row>
    <row r="50" spans="1:3">
      <c r="A50" t="s">
        <v>33</v>
      </c>
      <c r="B50" s="100">
        <v>130000000</v>
      </c>
      <c r="C50" s="101" t="s">
        <v>34</v>
      </c>
    </row>
    <row r="51" spans="1:3">
      <c r="A51" t="s">
        <v>35</v>
      </c>
      <c r="B51" s="100">
        <v>38000000</v>
      </c>
      <c r="C51" s="101" t="s">
        <v>36</v>
      </c>
    </row>
    <row r="52" spans="1:3">
      <c r="A52" t="s">
        <v>37</v>
      </c>
      <c r="B52" s="100">
        <v>25000000</v>
      </c>
      <c r="C52" s="101" t="s">
        <v>38</v>
      </c>
    </row>
    <row r="53" spans="1:3">
      <c r="A53" t="s">
        <v>39</v>
      </c>
      <c r="B53" s="100">
        <v>19000000</v>
      </c>
      <c r="C53" s="101" t="s">
        <v>40</v>
      </c>
    </row>
    <row r="54" spans="1:3">
      <c r="A54" t="s">
        <v>41</v>
      </c>
      <c r="B54" s="100">
        <v>14000000</v>
      </c>
      <c r="C54" s="101" t="s">
        <v>42</v>
      </c>
    </row>
    <row r="55" spans="1:3">
      <c r="A55" s="3" t="s">
        <v>43</v>
      </c>
      <c r="B55" s="100">
        <f>SUM(B49:B54)</f>
        <v>326000000</v>
      </c>
      <c r="C55" s="101"/>
    </row>
    <row r="57" spans="1:3" ht="21.6" thickBot="1">
      <c r="A57" s="63" t="s">
        <v>221</v>
      </c>
      <c r="B57" s="62"/>
      <c r="C57" s="62"/>
    </row>
    <row r="58" spans="1:3">
      <c r="A58" s="43"/>
      <c r="B58" s="43"/>
      <c r="C58" s="43"/>
    </row>
    <row r="59" spans="1:3">
      <c r="A59" s="2" t="s">
        <v>0</v>
      </c>
      <c r="B59" s="2"/>
      <c r="C59" s="2"/>
    </row>
    <row r="60" spans="1:3">
      <c r="A60" s="4" t="s">
        <v>1</v>
      </c>
      <c r="B60" s="4" t="s">
        <v>2</v>
      </c>
      <c r="C60" s="4" t="s">
        <v>3</v>
      </c>
    </row>
    <row r="61" spans="1:3">
      <c r="A61" t="s">
        <v>230</v>
      </c>
      <c r="B61" s="100">
        <v>460000000</v>
      </c>
      <c r="C61" s="101" t="s">
        <v>5</v>
      </c>
    </row>
    <row r="62" spans="1:3">
      <c r="A62" t="s">
        <v>6</v>
      </c>
      <c r="B62" s="5">
        <v>35</v>
      </c>
      <c r="C62" s="101" t="s">
        <v>7</v>
      </c>
    </row>
    <row r="63" spans="1:3">
      <c r="A63" t="s">
        <v>8</v>
      </c>
      <c r="B63" s="6">
        <v>3.5000000000000003E-2</v>
      </c>
      <c r="C63" s="101" t="s">
        <v>9</v>
      </c>
    </row>
    <row r="64" spans="1:3">
      <c r="A64" t="s">
        <v>10</v>
      </c>
      <c r="B64" s="100">
        <v>650000</v>
      </c>
      <c r="C64" s="101" t="s">
        <v>11</v>
      </c>
    </row>
    <row r="65" spans="1:3">
      <c r="A65" t="s">
        <v>12</v>
      </c>
      <c r="B65" s="107">
        <v>8.0000000000000002E-3</v>
      </c>
      <c r="C65" s="101" t="s">
        <v>13</v>
      </c>
    </row>
    <row r="66" spans="1:3">
      <c r="A66" t="s">
        <v>14</v>
      </c>
      <c r="B66" s="6">
        <v>1.2E-2</v>
      </c>
      <c r="C66" s="101" t="s">
        <v>15</v>
      </c>
    </row>
    <row r="67" spans="1:3">
      <c r="A67" t="s">
        <v>16</v>
      </c>
      <c r="B67" s="64">
        <v>0.75</v>
      </c>
      <c r="C67" s="101" t="s">
        <v>17</v>
      </c>
    </row>
    <row r="68" spans="1:3">
      <c r="A68" t="s">
        <v>18</v>
      </c>
      <c r="B68" s="100">
        <v>1600000</v>
      </c>
      <c r="C68" s="101" t="s">
        <v>19</v>
      </c>
    </row>
    <row r="69" spans="1:3">
      <c r="A69" t="s">
        <v>20</v>
      </c>
      <c r="B69" s="100">
        <v>2200000000</v>
      </c>
      <c r="C69" s="101" t="s">
        <v>21</v>
      </c>
    </row>
    <row r="70" spans="1:3">
      <c r="A70" t="s">
        <v>22</v>
      </c>
      <c r="B70" s="64">
        <v>0.02</v>
      </c>
      <c r="C70" s="101" t="s">
        <v>23</v>
      </c>
    </row>
    <row r="71" spans="1:3">
      <c r="A71" t="s">
        <v>24</v>
      </c>
      <c r="B71" s="5">
        <v>770</v>
      </c>
      <c r="C71" s="101" t="s">
        <v>25</v>
      </c>
    </row>
    <row r="72" spans="1:3">
      <c r="A72" t="s">
        <v>26</v>
      </c>
      <c r="B72" s="5">
        <v>5</v>
      </c>
      <c r="C72" s="101" t="s">
        <v>27</v>
      </c>
    </row>
    <row r="74" spans="1:3">
      <c r="A74" s="2" t="s">
        <v>28</v>
      </c>
      <c r="B74" s="2"/>
      <c r="C74" s="2"/>
    </row>
    <row r="75" spans="1:3">
      <c r="A75" s="4" t="s">
        <v>29</v>
      </c>
      <c r="B75" s="4" t="s">
        <v>231</v>
      </c>
      <c r="C75" s="4" t="s">
        <v>3</v>
      </c>
    </row>
    <row r="76" spans="1:3">
      <c r="A76" t="s">
        <v>31</v>
      </c>
      <c r="B76" s="100">
        <v>90000000</v>
      </c>
      <c r="C76" s="101" t="s">
        <v>245</v>
      </c>
    </row>
    <row r="77" spans="1:3">
      <c r="A77" t="s">
        <v>33</v>
      </c>
      <c r="B77" s="100">
        <v>110000000</v>
      </c>
      <c r="C77" s="101" t="s">
        <v>34</v>
      </c>
    </row>
    <row r="78" spans="1:3">
      <c r="A78" t="s">
        <v>35</v>
      </c>
      <c r="B78" s="100">
        <v>32000000</v>
      </c>
      <c r="C78" s="101" t="s">
        <v>36</v>
      </c>
    </row>
    <row r="79" spans="1:3">
      <c r="A79" t="s">
        <v>37</v>
      </c>
      <c r="B79" s="100">
        <v>20000000</v>
      </c>
      <c r="C79" s="101" t="s">
        <v>38</v>
      </c>
    </row>
    <row r="80" spans="1:3">
      <c r="A80" t="s">
        <v>39</v>
      </c>
      <c r="B80" s="100">
        <v>17000000</v>
      </c>
      <c r="C80" s="101" t="s">
        <v>40</v>
      </c>
    </row>
    <row r="81" spans="1:3">
      <c r="A81" t="s">
        <v>41</v>
      </c>
      <c r="B81" s="100">
        <v>10000000</v>
      </c>
      <c r="C81" s="101" t="s">
        <v>42</v>
      </c>
    </row>
    <row r="82" spans="1:3">
      <c r="A82" s="3" t="s">
        <v>43</v>
      </c>
      <c r="B82" s="100">
        <f>SUM(B76:B81)</f>
        <v>279000000</v>
      </c>
      <c r="C82" s="101"/>
    </row>
    <row r="85" spans="1:3" ht="21.6" thickBot="1">
      <c r="A85" s="63" t="s">
        <v>226</v>
      </c>
      <c r="B85" s="62"/>
      <c r="C85" s="62"/>
    </row>
    <row r="86" spans="1:3">
      <c r="A86" s="43"/>
      <c r="B86" s="43"/>
      <c r="C86" s="43"/>
    </row>
    <row r="87" spans="1:3">
      <c r="A87" s="2" t="s">
        <v>0</v>
      </c>
      <c r="B87" s="2"/>
      <c r="C87" s="2"/>
    </row>
    <row r="88" spans="1:3">
      <c r="A88" s="4" t="s">
        <v>1</v>
      </c>
      <c r="B88" s="4" t="s">
        <v>2</v>
      </c>
    </row>
    <row r="89" spans="1:3">
      <c r="A89" t="s">
        <v>230</v>
      </c>
      <c r="B89" s="99">
        <f>CHOOSE($D$6,B6,B34,B61)</f>
        <v>460000000</v>
      </c>
    </row>
    <row r="90" spans="1:3">
      <c r="A90" t="s">
        <v>6</v>
      </c>
      <c r="B90" s="66">
        <f t="shared" ref="B90:B100" si="0">CHOOSE($D$6,B7,B35,B62)</f>
        <v>35</v>
      </c>
    </row>
    <row r="91" spans="1:3">
      <c r="A91" t="s">
        <v>8</v>
      </c>
      <c r="B91" s="94">
        <f t="shared" si="0"/>
        <v>3.5000000000000003E-2</v>
      </c>
    </row>
    <row r="92" spans="1:3">
      <c r="A92" t="s">
        <v>10</v>
      </c>
      <c r="B92" s="99">
        <f t="shared" si="0"/>
        <v>650000</v>
      </c>
    </row>
    <row r="93" spans="1:3">
      <c r="A93" t="s">
        <v>12</v>
      </c>
      <c r="B93" s="93">
        <f t="shared" si="0"/>
        <v>8.0000000000000002E-3</v>
      </c>
    </row>
    <row r="94" spans="1:3">
      <c r="A94" t="s">
        <v>14</v>
      </c>
      <c r="B94" s="94">
        <f t="shared" si="0"/>
        <v>1.2E-2</v>
      </c>
    </row>
    <row r="95" spans="1:3">
      <c r="A95" t="s">
        <v>16</v>
      </c>
      <c r="B95" s="93">
        <f t="shared" si="0"/>
        <v>0.75</v>
      </c>
    </row>
    <row r="96" spans="1:3">
      <c r="A96" t="s">
        <v>18</v>
      </c>
      <c r="B96" s="99">
        <f t="shared" si="0"/>
        <v>1600000</v>
      </c>
    </row>
    <row r="97" spans="1:3">
      <c r="A97" t="s">
        <v>20</v>
      </c>
      <c r="B97" s="99">
        <f t="shared" si="0"/>
        <v>2200000000</v>
      </c>
    </row>
    <row r="98" spans="1:3">
      <c r="A98" t="s">
        <v>22</v>
      </c>
      <c r="B98" s="94">
        <f t="shared" si="0"/>
        <v>0.02</v>
      </c>
    </row>
    <row r="99" spans="1:3">
      <c r="A99" t="s">
        <v>24</v>
      </c>
      <c r="B99" s="66">
        <f t="shared" si="0"/>
        <v>770</v>
      </c>
    </row>
    <row r="100" spans="1:3">
      <c r="A100" t="s">
        <v>26</v>
      </c>
      <c r="B100" s="66">
        <f t="shared" si="0"/>
        <v>5</v>
      </c>
    </row>
    <row r="102" spans="1:3">
      <c r="A102" s="2" t="s">
        <v>28</v>
      </c>
      <c r="B102" s="2"/>
      <c r="C102" s="2"/>
    </row>
    <row r="103" spans="1:3">
      <c r="A103" s="4" t="s">
        <v>29</v>
      </c>
      <c r="B103" s="4" t="s">
        <v>30</v>
      </c>
    </row>
    <row r="104" spans="1:3">
      <c r="A104" t="s">
        <v>31</v>
      </c>
      <c r="B104" s="99">
        <f>CHOOSE($D$6,B21,B49,B76)</f>
        <v>90000000</v>
      </c>
    </row>
    <row r="105" spans="1:3">
      <c r="A105" t="s">
        <v>33</v>
      </c>
      <c r="B105" s="99">
        <f t="shared" ref="B105:B110" si="1">CHOOSE($D$6,B22,B50,B77)</f>
        <v>110000000</v>
      </c>
    </row>
    <row r="106" spans="1:3">
      <c r="A106" t="s">
        <v>35</v>
      </c>
      <c r="B106" s="99">
        <f t="shared" si="1"/>
        <v>32000000</v>
      </c>
    </row>
    <row r="107" spans="1:3">
      <c r="A107" t="s">
        <v>37</v>
      </c>
      <c r="B107" s="99">
        <f t="shared" si="1"/>
        <v>20000000</v>
      </c>
    </row>
    <row r="108" spans="1:3">
      <c r="A108" t="s">
        <v>39</v>
      </c>
      <c r="B108" s="99">
        <f t="shared" si="1"/>
        <v>17000000</v>
      </c>
    </row>
    <row r="109" spans="1:3">
      <c r="A109" t="s">
        <v>41</v>
      </c>
      <c r="B109" s="99">
        <f t="shared" si="1"/>
        <v>10000000</v>
      </c>
    </row>
    <row r="110" spans="1:3">
      <c r="A110" s="3" t="s">
        <v>43</v>
      </c>
      <c r="B110" s="99">
        <f t="shared" si="1"/>
        <v>279000000</v>
      </c>
    </row>
    <row r="111" spans="1:3">
      <c r="B111" s="33"/>
    </row>
    <row r="112" spans="1:3">
      <c r="B112" s="33"/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C121-8930-BD42-A4A0-0A217A71C054}">
  <sheetPr codeName="Sheet5"/>
  <dimension ref="A1:T109"/>
  <sheetViews>
    <sheetView showGridLines="0" topLeftCell="A67" zoomScale="76" zoomScaleNormal="61" workbookViewId="0">
      <pane xSplit="1" topLeftCell="B1" activePane="topRight" state="frozen"/>
      <selection activeCell="A27" sqref="A27"/>
      <selection pane="topRight" activeCell="K14" sqref="K14"/>
    </sheetView>
  </sheetViews>
  <sheetFormatPr defaultColWidth="11.19921875" defaultRowHeight="15.6"/>
  <cols>
    <col min="1" max="1" width="17.69921875" customWidth="1"/>
    <col min="2" max="2" width="9.59765625" customWidth="1"/>
    <col min="3" max="4" width="9.796875" customWidth="1"/>
    <col min="5" max="5" width="15.296875" customWidth="1"/>
    <col min="6" max="6" width="10.796875" customWidth="1"/>
    <col min="7" max="10" width="14.19921875" customWidth="1"/>
    <col min="11" max="11" width="16" customWidth="1"/>
    <col min="12" max="14" width="14.19921875" customWidth="1"/>
  </cols>
  <sheetData>
    <row r="1" spans="1:11" ht="21">
      <c r="A1" s="1">
        <v>1</v>
      </c>
    </row>
    <row r="3" spans="1:11">
      <c r="A3" s="2" t="s">
        <v>0</v>
      </c>
      <c r="B3" s="2"/>
      <c r="C3" s="2"/>
      <c r="D3" s="2"/>
      <c r="F3" s="2" t="s">
        <v>99</v>
      </c>
      <c r="G3" s="2"/>
      <c r="H3" s="2"/>
      <c r="I3" s="2"/>
      <c r="J3" s="2"/>
      <c r="K3" s="2"/>
    </row>
    <row r="4" spans="1:11">
      <c r="A4" s="4" t="s">
        <v>1</v>
      </c>
      <c r="B4" s="4" t="s">
        <v>2</v>
      </c>
      <c r="C4" s="4" t="s">
        <v>3</v>
      </c>
      <c r="D4" s="4"/>
      <c r="F4" s="4" t="s">
        <v>100</v>
      </c>
      <c r="G4" s="4" t="s">
        <v>101</v>
      </c>
      <c r="H4" s="4" t="s">
        <v>56</v>
      </c>
      <c r="I4" s="20"/>
      <c r="J4" s="4" t="s">
        <v>102</v>
      </c>
      <c r="K4" s="4" t="s">
        <v>103</v>
      </c>
    </row>
    <row r="5" spans="1:11">
      <c r="A5" t="s">
        <v>4</v>
      </c>
      <c r="B5" s="33">
        <v>50000</v>
      </c>
      <c r="C5" t="s">
        <v>5</v>
      </c>
      <c r="F5" t="s">
        <v>104</v>
      </c>
      <c r="G5" s="35">
        <f>B42</f>
        <v>62000</v>
      </c>
      <c r="H5" s="35">
        <f>M42</f>
        <v>266890.3932415382</v>
      </c>
      <c r="J5" t="s">
        <v>90</v>
      </c>
      <c r="K5" s="3" t="str">
        <f>IF(N67&gt;=3,"✓ Healthy",IF(N67&gt;=1,"⚠ Needs Improvement","✗ Critical"))</f>
        <v>⚠ Needs Improvement</v>
      </c>
    </row>
    <row r="6" spans="1:11">
      <c r="A6" t="s">
        <v>6</v>
      </c>
      <c r="B6" s="5">
        <v>25</v>
      </c>
      <c r="C6" t="s">
        <v>7</v>
      </c>
      <c r="F6" t="s">
        <v>70</v>
      </c>
      <c r="G6" s="35">
        <f>B43</f>
        <v>744000</v>
      </c>
      <c r="H6" s="35">
        <f>M43</f>
        <v>3202684.7188984584</v>
      </c>
      <c r="J6" t="s">
        <v>105</v>
      </c>
      <c r="K6" s="3" t="str">
        <f>IF(N59/N41&lt;2,"✓ Efficient",IF(N59/N41&lt;4,"⚠ Monitor","✗ High Burn"))</f>
        <v>⚠ Monitor</v>
      </c>
    </row>
    <row r="7" spans="1:11">
      <c r="A7" t="s">
        <v>8</v>
      </c>
      <c r="B7" s="6">
        <v>0.08</v>
      </c>
      <c r="C7" t="s">
        <v>9</v>
      </c>
      <c r="F7" t="s">
        <v>106</v>
      </c>
      <c r="G7" s="11">
        <f>B34</f>
        <v>122</v>
      </c>
      <c r="H7" s="11">
        <f>M34</f>
        <v>475</v>
      </c>
      <c r="J7" t="s">
        <v>107</v>
      </c>
      <c r="K7" s="3" t="str">
        <f>IF(N65&gt;=0.7,"✓ Healthy",IF(N65&gt;=0.5,"⚠ Low","✗ Critical"))</f>
        <v>✓ Healthy</v>
      </c>
    </row>
    <row r="8" spans="1:11">
      <c r="A8" t="s">
        <v>10</v>
      </c>
      <c r="B8" s="33">
        <v>500</v>
      </c>
      <c r="C8" t="s">
        <v>11</v>
      </c>
      <c r="F8" t="s">
        <v>108</v>
      </c>
      <c r="G8" s="35">
        <f>B59</f>
        <v>435400</v>
      </c>
      <c r="H8" s="35">
        <f>M59</f>
        <v>636994.33856323664</v>
      </c>
      <c r="J8" t="s">
        <v>109</v>
      </c>
      <c r="K8" s="3" t="str">
        <f>IF(N73&lt;=0.02,"✓ Low",IF(N73&lt;=0.05,"⚠ Moderate","✗ High"))</f>
        <v>⚠ Moderate</v>
      </c>
    </row>
    <row r="9" spans="1:11">
      <c r="A9" t="s">
        <v>12</v>
      </c>
      <c r="B9" s="6">
        <v>0.03</v>
      </c>
      <c r="C9" t="s">
        <v>13</v>
      </c>
      <c r="F9" t="s">
        <v>110</v>
      </c>
      <c r="G9" s="35">
        <f>B57</f>
        <v>2564600</v>
      </c>
      <c r="H9" s="35">
        <f>M57</f>
        <v>-3310447.5697685238</v>
      </c>
      <c r="J9" t="s">
        <v>97</v>
      </c>
      <c r="K9" s="3" t="str">
        <f>IF(N75&gt;=4,"✓ Strong",IF(N75&gt;=2,"⚠ Moderate","✗ Weak"))</f>
        <v>✓ Strong</v>
      </c>
    </row>
    <row r="10" spans="1:11">
      <c r="A10" t="s">
        <v>14</v>
      </c>
      <c r="B10" s="6">
        <v>0.02</v>
      </c>
      <c r="C10" t="s">
        <v>15</v>
      </c>
      <c r="F10" t="s">
        <v>111</v>
      </c>
      <c r="G10" s="19">
        <f>B77</f>
        <v>5.8902158934313276</v>
      </c>
      <c r="H10" s="19">
        <f>M77</f>
        <v>-5.1969811493699547</v>
      </c>
    </row>
    <row r="11" spans="1:11">
      <c r="A11" t="s">
        <v>16</v>
      </c>
      <c r="B11" s="6">
        <v>0.8</v>
      </c>
      <c r="C11" t="s">
        <v>17</v>
      </c>
    </row>
    <row r="12" spans="1:11">
      <c r="A12" t="s">
        <v>18</v>
      </c>
      <c r="B12" s="33">
        <v>8000</v>
      </c>
      <c r="C12" t="s">
        <v>19</v>
      </c>
      <c r="F12" s="10" t="s">
        <v>112</v>
      </c>
      <c r="J12" s="22" t="s">
        <v>113</v>
      </c>
    </row>
    <row r="13" spans="1:11">
      <c r="A13" t="s">
        <v>20</v>
      </c>
      <c r="B13" s="33">
        <v>3000000</v>
      </c>
      <c r="C13" t="s">
        <v>21</v>
      </c>
      <c r="F13" t="s">
        <v>114</v>
      </c>
      <c r="G13" s="35">
        <f>N46</f>
        <v>1827851.0690877212</v>
      </c>
      <c r="J13" s="21" t="s">
        <v>115</v>
      </c>
    </row>
    <row r="14" spans="1:11">
      <c r="A14" t="s">
        <v>22</v>
      </c>
      <c r="B14" s="6">
        <v>0.03</v>
      </c>
      <c r="C14" t="s">
        <v>23</v>
      </c>
      <c r="F14" t="s">
        <v>116</v>
      </c>
      <c r="G14" s="35">
        <f>N50</f>
        <v>-2582447.5697685233</v>
      </c>
      <c r="J14" t="s">
        <v>117</v>
      </c>
      <c r="K14" s="22" t="str">
        <f>IF(B77&lt;6,"⚠ START FUNDRAISING NOW","✓ Runway OK")</f>
        <v>⚠ START FUNDRAISING NOW</v>
      </c>
    </row>
    <row r="15" spans="1:11">
      <c r="A15" t="s">
        <v>24</v>
      </c>
      <c r="B15" s="5">
        <v>100</v>
      </c>
      <c r="C15" t="s">
        <v>25</v>
      </c>
      <c r="F15" t="s">
        <v>118</v>
      </c>
      <c r="G15" s="35">
        <f>N56</f>
        <v>-6310447.5697685238</v>
      </c>
    </row>
    <row r="16" spans="1:11">
      <c r="A16" t="s">
        <v>26</v>
      </c>
      <c r="B16" s="7">
        <v>2</v>
      </c>
      <c r="C16" t="s">
        <v>27</v>
      </c>
      <c r="F16" t="s">
        <v>119</v>
      </c>
      <c r="G16" s="17">
        <f>N59/N41</f>
        <v>2.4245916241592695</v>
      </c>
    </row>
    <row r="18" spans="1:14">
      <c r="A18" s="2" t="s">
        <v>28</v>
      </c>
      <c r="B18" s="2"/>
      <c r="C18" s="2"/>
    </row>
    <row r="19" spans="1:14">
      <c r="A19" s="4" t="s">
        <v>29</v>
      </c>
      <c r="B19" s="4" t="s">
        <v>30</v>
      </c>
      <c r="C19" s="4" t="s">
        <v>3</v>
      </c>
    </row>
    <row r="20" spans="1:14">
      <c r="A20" t="s">
        <v>31</v>
      </c>
      <c r="B20" s="33">
        <v>120000</v>
      </c>
      <c r="C20" t="s">
        <v>32</v>
      </c>
    </row>
    <row r="21" spans="1:14">
      <c r="A21" t="s">
        <v>33</v>
      </c>
      <c r="B21" s="33">
        <v>80000</v>
      </c>
      <c r="C21" t="s">
        <v>34</v>
      </c>
    </row>
    <row r="22" spans="1:14">
      <c r="A22" t="s">
        <v>35</v>
      </c>
      <c r="B22" s="33">
        <v>35000</v>
      </c>
      <c r="C22" t="s">
        <v>36</v>
      </c>
    </row>
    <row r="23" spans="1:14">
      <c r="A23" t="s">
        <v>37</v>
      </c>
      <c r="B23" s="33">
        <v>25000</v>
      </c>
      <c r="C23" t="s">
        <v>38</v>
      </c>
    </row>
    <row r="24" spans="1:14">
      <c r="A24" t="s">
        <v>39</v>
      </c>
      <c r="B24" s="33">
        <v>15000</v>
      </c>
      <c r="C24" t="s">
        <v>40</v>
      </c>
    </row>
    <row r="25" spans="1:14">
      <c r="A25" t="s">
        <v>41</v>
      </c>
      <c r="B25" s="33">
        <v>10000</v>
      </c>
      <c r="C25" t="s">
        <v>42</v>
      </c>
    </row>
    <row r="26" spans="1:14">
      <c r="A26" s="3" t="s">
        <v>43</v>
      </c>
      <c r="B26" s="34">
        <f>SUM(B20:B25)</f>
        <v>285000</v>
      </c>
    </row>
    <row r="28" spans="1:14" ht="18">
      <c r="A28" s="41" t="s">
        <v>44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14">
      <c r="A29" s="4"/>
      <c r="B29" s="8" t="s">
        <v>45</v>
      </c>
      <c r="C29" s="8" t="s">
        <v>46</v>
      </c>
      <c r="D29" s="8" t="s">
        <v>47</v>
      </c>
      <c r="E29" s="8" t="s">
        <v>48</v>
      </c>
      <c r="F29" s="8" t="s">
        <v>49</v>
      </c>
      <c r="G29" s="8" t="s">
        <v>50</v>
      </c>
      <c r="H29" s="8" t="s">
        <v>51</v>
      </c>
      <c r="I29" s="8" t="s">
        <v>52</v>
      </c>
      <c r="J29" s="8" t="s">
        <v>53</v>
      </c>
      <c r="K29" s="8" t="s">
        <v>54</v>
      </c>
      <c r="L29" s="8" t="s">
        <v>55</v>
      </c>
      <c r="M29" s="8" t="s">
        <v>56</v>
      </c>
      <c r="N29" s="9" t="s">
        <v>57</v>
      </c>
    </row>
    <row r="30" spans="1:14">
      <c r="A30" s="10" t="s">
        <v>58</v>
      </c>
    </row>
    <row r="31" spans="1:14">
      <c r="A31" t="s">
        <v>59</v>
      </c>
      <c r="B31" s="11">
        <f>$B$15</f>
        <v>100</v>
      </c>
      <c r="C31" s="11">
        <f>B34</f>
        <v>122</v>
      </c>
      <c r="D31" s="11">
        <f t="shared" ref="D31:M31" si="0">C34</f>
        <v>145</v>
      </c>
      <c r="E31" s="11">
        <f t="shared" si="0"/>
        <v>170</v>
      </c>
      <c r="F31" s="11">
        <f t="shared" si="0"/>
        <v>196</v>
      </c>
      <c r="G31" s="11">
        <f t="shared" si="0"/>
        <v>223</v>
      </c>
      <c r="H31" s="11">
        <f t="shared" si="0"/>
        <v>252</v>
      </c>
      <c r="I31" s="11">
        <f t="shared" si="0"/>
        <v>283</v>
      </c>
      <c r="J31" s="11">
        <f t="shared" si="0"/>
        <v>317</v>
      </c>
      <c r="K31" s="11">
        <f t="shared" si="0"/>
        <v>352</v>
      </c>
      <c r="L31" s="11">
        <f t="shared" si="0"/>
        <v>390</v>
      </c>
      <c r="M31" s="11">
        <f t="shared" si="0"/>
        <v>431</v>
      </c>
      <c r="N31" s="13" t="s">
        <v>77</v>
      </c>
    </row>
    <row r="32" spans="1:14">
      <c r="A32" t="s">
        <v>60</v>
      </c>
      <c r="B32" s="11">
        <f>$B$6</f>
        <v>25</v>
      </c>
      <c r="C32" s="11">
        <f>ROUND(B32*(1+$B$7),0)</f>
        <v>27</v>
      </c>
      <c r="D32" s="11">
        <f t="shared" ref="D32:M32" si="1">ROUND(C32*(1+$B$7),0)</f>
        <v>29</v>
      </c>
      <c r="E32" s="11">
        <f t="shared" si="1"/>
        <v>31</v>
      </c>
      <c r="F32" s="11">
        <f t="shared" si="1"/>
        <v>33</v>
      </c>
      <c r="G32" s="11">
        <f t="shared" si="1"/>
        <v>36</v>
      </c>
      <c r="H32" s="11">
        <f t="shared" si="1"/>
        <v>39</v>
      </c>
      <c r="I32" s="11">
        <f t="shared" si="1"/>
        <v>42</v>
      </c>
      <c r="J32" s="11">
        <f t="shared" si="1"/>
        <v>45</v>
      </c>
      <c r="K32" s="11">
        <f t="shared" si="1"/>
        <v>49</v>
      </c>
      <c r="L32" s="11">
        <f t="shared" si="1"/>
        <v>53</v>
      </c>
      <c r="M32" s="11">
        <f t="shared" si="1"/>
        <v>57</v>
      </c>
      <c r="N32" s="11">
        <f>SUM(B32:M32)</f>
        <v>466</v>
      </c>
    </row>
    <row r="33" spans="1:14">
      <c r="A33" t="s">
        <v>61</v>
      </c>
      <c r="B33" s="11">
        <f>-ROUND(B31*$B$9,0)</f>
        <v>-3</v>
      </c>
      <c r="C33" s="11">
        <f>-ROUND(C31*$B$9,0)</f>
        <v>-4</v>
      </c>
      <c r="D33" s="11">
        <f t="shared" ref="D33:M33" si="2">-ROUND(D31*$B$9,0)</f>
        <v>-4</v>
      </c>
      <c r="E33" s="11">
        <f t="shared" si="2"/>
        <v>-5</v>
      </c>
      <c r="F33" s="11">
        <f t="shared" si="2"/>
        <v>-6</v>
      </c>
      <c r="G33" s="11">
        <f t="shared" si="2"/>
        <v>-7</v>
      </c>
      <c r="H33" s="11">
        <f t="shared" si="2"/>
        <v>-8</v>
      </c>
      <c r="I33" s="11">
        <f t="shared" si="2"/>
        <v>-8</v>
      </c>
      <c r="J33" s="11">
        <f t="shared" si="2"/>
        <v>-10</v>
      </c>
      <c r="K33" s="11">
        <f t="shared" si="2"/>
        <v>-11</v>
      </c>
      <c r="L33" s="11">
        <f t="shared" si="2"/>
        <v>-12</v>
      </c>
      <c r="M33" s="11">
        <f t="shared" si="2"/>
        <v>-13</v>
      </c>
      <c r="N33" s="11">
        <f>SUM(B33:M33)</f>
        <v>-91</v>
      </c>
    </row>
    <row r="34" spans="1:14">
      <c r="A34" s="3" t="s">
        <v>62</v>
      </c>
      <c r="B34" s="12">
        <f>B31+B32+B33</f>
        <v>122</v>
      </c>
      <c r="C34" s="12">
        <f>C31+C32+C33</f>
        <v>145</v>
      </c>
      <c r="D34" s="12">
        <f t="shared" ref="D34:M34" si="3">D31+D32+D33</f>
        <v>170</v>
      </c>
      <c r="E34" s="12">
        <f t="shared" si="3"/>
        <v>196</v>
      </c>
      <c r="F34" s="12">
        <f t="shared" si="3"/>
        <v>223</v>
      </c>
      <c r="G34" s="12">
        <f t="shared" si="3"/>
        <v>252</v>
      </c>
      <c r="H34" s="12">
        <f t="shared" si="3"/>
        <v>283</v>
      </c>
      <c r="I34" s="12">
        <f t="shared" si="3"/>
        <v>317</v>
      </c>
      <c r="J34" s="12">
        <f t="shared" si="3"/>
        <v>352</v>
      </c>
      <c r="K34" s="12">
        <f t="shared" si="3"/>
        <v>390</v>
      </c>
      <c r="L34" s="12">
        <f t="shared" si="3"/>
        <v>431</v>
      </c>
      <c r="M34" s="12">
        <f t="shared" si="3"/>
        <v>475</v>
      </c>
      <c r="N34" s="12">
        <f>M34</f>
        <v>475</v>
      </c>
    </row>
    <row r="36" spans="1:14">
      <c r="A36" s="10" t="s">
        <v>63</v>
      </c>
    </row>
    <row r="37" spans="1:14">
      <c r="A37" t="s">
        <v>64</v>
      </c>
      <c r="B37" s="35">
        <f>$B$5</f>
        <v>50000</v>
      </c>
      <c r="C37" s="35">
        <f>B42</f>
        <v>62000</v>
      </c>
      <c r="D37" s="35">
        <f t="shared" ref="D37:M37" si="4">C42</f>
        <v>74880</v>
      </c>
      <c r="E37" s="35">
        <f t="shared" si="4"/>
        <v>88631.2</v>
      </c>
      <c r="F37" s="35">
        <f t="shared" si="4"/>
        <v>103244.88799999999</v>
      </c>
      <c r="G37" s="35">
        <f t="shared" si="4"/>
        <v>118712.43912</v>
      </c>
      <c r="H37" s="35">
        <f t="shared" si="4"/>
        <v>135525.3147288</v>
      </c>
      <c r="I37" s="35">
        <f t="shared" si="4"/>
        <v>153670.06158151201</v>
      </c>
      <c r="J37" s="35">
        <f t="shared" si="4"/>
        <v>173133.36096569689</v>
      </c>
      <c r="K37" s="35">
        <f t="shared" si="4"/>
        <v>193902.02735603991</v>
      </c>
      <c r="L37" s="35">
        <f t="shared" si="4"/>
        <v>216463.00708247951</v>
      </c>
      <c r="M37" s="35">
        <f t="shared" si="4"/>
        <v>240798.37701165472</v>
      </c>
      <c r="N37" s="36" t="s">
        <v>77</v>
      </c>
    </row>
    <row r="38" spans="1:14">
      <c r="A38" t="s">
        <v>65</v>
      </c>
      <c r="B38" s="35">
        <f>B32*$B$8</f>
        <v>12500</v>
      </c>
      <c r="C38" s="35">
        <f>C32*$B$8</f>
        <v>13500</v>
      </c>
      <c r="D38" s="35">
        <f t="shared" ref="D38:M38" si="5">D32*$B$8</f>
        <v>14500</v>
      </c>
      <c r="E38" s="35">
        <f t="shared" si="5"/>
        <v>15500</v>
      </c>
      <c r="F38" s="35">
        <f t="shared" si="5"/>
        <v>16500</v>
      </c>
      <c r="G38" s="35">
        <f t="shared" si="5"/>
        <v>18000</v>
      </c>
      <c r="H38" s="35">
        <f t="shared" si="5"/>
        <v>19500</v>
      </c>
      <c r="I38" s="35">
        <f t="shared" si="5"/>
        <v>21000</v>
      </c>
      <c r="J38" s="35">
        <f t="shared" si="5"/>
        <v>22500</v>
      </c>
      <c r="K38" s="35">
        <f t="shared" si="5"/>
        <v>24500</v>
      </c>
      <c r="L38" s="35">
        <f t="shared" si="5"/>
        <v>26500</v>
      </c>
      <c r="M38" s="35">
        <f t="shared" si="5"/>
        <v>28500</v>
      </c>
      <c r="N38" s="35">
        <f>SUM(B38:M38)</f>
        <v>233000</v>
      </c>
    </row>
    <row r="39" spans="1:14">
      <c r="A39" t="s">
        <v>66</v>
      </c>
      <c r="B39" s="35">
        <f>B37*$B$10</f>
        <v>1000</v>
      </c>
      <c r="C39" s="35">
        <f>C37*$B$10</f>
        <v>1240</v>
      </c>
      <c r="D39" s="35">
        <f t="shared" ref="D39:M39" si="6">D37*$B$10</f>
        <v>1497.6000000000001</v>
      </c>
      <c r="E39" s="35">
        <f t="shared" si="6"/>
        <v>1772.624</v>
      </c>
      <c r="F39" s="35">
        <f t="shared" si="6"/>
        <v>2064.8977599999998</v>
      </c>
      <c r="G39" s="35">
        <f t="shared" si="6"/>
        <v>2374.2487824</v>
      </c>
      <c r="H39" s="35">
        <f t="shared" si="6"/>
        <v>2710.5062945760001</v>
      </c>
      <c r="I39" s="35">
        <f t="shared" si="6"/>
        <v>3073.4012316302401</v>
      </c>
      <c r="J39" s="35">
        <f t="shared" si="6"/>
        <v>3462.6672193139379</v>
      </c>
      <c r="K39" s="35">
        <f t="shared" si="6"/>
        <v>3878.0405471207982</v>
      </c>
      <c r="L39" s="35">
        <f t="shared" si="6"/>
        <v>4329.26014164959</v>
      </c>
      <c r="M39" s="35">
        <f t="shared" si="6"/>
        <v>4815.967540233095</v>
      </c>
      <c r="N39" s="35">
        <f>SUM(B39:M39)</f>
        <v>32219.213516923661</v>
      </c>
    </row>
    <row r="40" spans="1:14">
      <c r="A40" t="s">
        <v>67</v>
      </c>
      <c r="B40" s="35">
        <f>-B37*$B$9</f>
        <v>-1500</v>
      </c>
      <c r="C40" s="35">
        <f>-C37*$B$9</f>
        <v>-1860</v>
      </c>
      <c r="D40" s="35">
        <f t="shared" ref="D40:M40" si="7">-D37*$B$9</f>
        <v>-2246.4</v>
      </c>
      <c r="E40" s="35">
        <f t="shared" si="7"/>
        <v>-2658.9359999999997</v>
      </c>
      <c r="F40" s="35">
        <f t="shared" si="7"/>
        <v>-3097.3466399999998</v>
      </c>
      <c r="G40" s="35">
        <f t="shared" si="7"/>
        <v>-3561.3731735999995</v>
      </c>
      <c r="H40" s="35">
        <f t="shared" si="7"/>
        <v>-4065.7594418640001</v>
      </c>
      <c r="I40" s="35">
        <f t="shared" si="7"/>
        <v>-4610.1018474453604</v>
      </c>
      <c r="J40" s="35">
        <f t="shared" si="7"/>
        <v>-5194.0008289709067</v>
      </c>
      <c r="K40" s="35">
        <f t="shared" si="7"/>
        <v>-5817.0608206811967</v>
      </c>
      <c r="L40" s="35">
        <f t="shared" si="7"/>
        <v>-6493.8902124743854</v>
      </c>
      <c r="M40" s="35">
        <f t="shared" si="7"/>
        <v>-7223.9513103496411</v>
      </c>
      <c r="N40" s="35">
        <f>SUM(B40:M40)</f>
        <v>-48328.820275385486</v>
      </c>
    </row>
    <row r="41" spans="1:14">
      <c r="A41" t="s">
        <v>68</v>
      </c>
      <c r="B41" s="35">
        <f>B38+B39+B40</f>
        <v>12000</v>
      </c>
      <c r="C41" s="35">
        <f>C38+C39+C40</f>
        <v>12880</v>
      </c>
      <c r="D41" s="35">
        <f t="shared" ref="D41:M41" si="8">D38+D39+D40</f>
        <v>13751.2</v>
      </c>
      <c r="E41" s="35">
        <f t="shared" si="8"/>
        <v>14613.688</v>
      </c>
      <c r="F41" s="35">
        <f t="shared" si="8"/>
        <v>15467.55112</v>
      </c>
      <c r="G41" s="35">
        <f t="shared" si="8"/>
        <v>16812.875608799997</v>
      </c>
      <c r="H41" s="35">
        <f t="shared" si="8"/>
        <v>18144.746852712</v>
      </c>
      <c r="I41" s="35">
        <f t="shared" si="8"/>
        <v>19463.29938418488</v>
      </c>
      <c r="J41" s="35">
        <f t="shared" si="8"/>
        <v>20768.666390343031</v>
      </c>
      <c r="K41" s="35">
        <f t="shared" si="8"/>
        <v>22560.979726439604</v>
      </c>
      <c r="L41" s="35">
        <f t="shared" si="8"/>
        <v>24335.369929175205</v>
      </c>
      <c r="M41" s="35">
        <f t="shared" si="8"/>
        <v>26092.016229883455</v>
      </c>
      <c r="N41" s="35">
        <f>SUM(B41:M41)</f>
        <v>216890.39324153817</v>
      </c>
    </row>
    <row r="42" spans="1:14">
      <c r="A42" s="3" t="s">
        <v>69</v>
      </c>
      <c r="B42" s="37">
        <f>B37+B41</f>
        <v>62000</v>
      </c>
      <c r="C42" s="37">
        <f>C37+C41</f>
        <v>74880</v>
      </c>
      <c r="D42" s="37">
        <f t="shared" ref="D42:M42" si="9">D37+D41</f>
        <v>88631.2</v>
      </c>
      <c r="E42" s="37">
        <f t="shared" si="9"/>
        <v>103244.88799999999</v>
      </c>
      <c r="F42" s="37">
        <f t="shared" si="9"/>
        <v>118712.43912</v>
      </c>
      <c r="G42" s="37">
        <f t="shared" si="9"/>
        <v>135525.3147288</v>
      </c>
      <c r="H42" s="37">
        <f t="shared" si="9"/>
        <v>153670.06158151201</v>
      </c>
      <c r="I42" s="37">
        <f t="shared" si="9"/>
        <v>173133.36096569689</v>
      </c>
      <c r="J42" s="37">
        <f t="shared" si="9"/>
        <v>193902.02735603991</v>
      </c>
      <c r="K42" s="37">
        <f t="shared" si="9"/>
        <v>216463.00708247951</v>
      </c>
      <c r="L42" s="37">
        <f t="shared" si="9"/>
        <v>240798.37701165472</v>
      </c>
      <c r="M42" s="37">
        <f t="shared" si="9"/>
        <v>266890.3932415382</v>
      </c>
      <c r="N42" s="37">
        <f>M42</f>
        <v>266890.3932415382</v>
      </c>
    </row>
    <row r="43" spans="1:14">
      <c r="A43" s="3" t="s">
        <v>70</v>
      </c>
      <c r="B43" s="37">
        <f>B42*12</f>
        <v>744000</v>
      </c>
      <c r="C43" s="37">
        <f>C42*12</f>
        <v>898560</v>
      </c>
      <c r="D43" s="37">
        <f t="shared" ref="D43:M43" si="10">D42*12</f>
        <v>1063574.3999999999</v>
      </c>
      <c r="E43" s="37">
        <f t="shared" si="10"/>
        <v>1238938.656</v>
      </c>
      <c r="F43" s="37">
        <f t="shared" si="10"/>
        <v>1424549.2694399999</v>
      </c>
      <c r="G43" s="37">
        <f t="shared" si="10"/>
        <v>1626303.7767456002</v>
      </c>
      <c r="H43" s="37">
        <f t="shared" si="10"/>
        <v>1844040.7389781442</v>
      </c>
      <c r="I43" s="37">
        <f t="shared" si="10"/>
        <v>2077600.3315883628</v>
      </c>
      <c r="J43" s="37">
        <f t="shared" si="10"/>
        <v>2326824.3282724787</v>
      </c>
      <c r="K43" s="37">
        <f t="shared" si="10"/>
        <v>2597556.084989754</v>
      </c>
      <c r="L43" s="37">
        <f t="shared" si="10"/>
        <v>2889580.5241398569</v>
      </c>
      <c r="M43" s="37">
        <f t="shared" si="10"/>
        <v>3202684.7188984584</v>
      </c>
      <c r="N43" s="37">
        <f>M43</f>
        <v>3202684.7188984584</v>
      </c>
    </row>
    <row r="45" spans="1:14">
      <c r="A45" s="10" t="s">
        <v>71</v>
      </c>
    </row>
    <row r="46" spans="1:14">
      <c r="A46" t="s">
        <v>72</v>
      </c>
      <c r="B46" s="35">
        <f>B42</f>
        <v>62000</v>
      </c>
      <c r="C46" s="35">
        <f>C42</f>
        <v>74880</v>
      </c>
      <c r="D46" s="35">
        <f t="shared" ref="D46:M46" si="11">D42</f>
        <v>88631.2</v>
      </c>
      <c r="E46" s="35">
        <f t="shared" si="11"/>
        <v>103244.88799999999</v>
      </c>
      <c r="F46" s="35">
        <f t="shared" si="11"/>
        <v>118712.43912</v>
      </c>
      <c r="G46" s="35">
        <f t="shared" si="11"/>
        <v>135525.3147288</v>
      </c>
      <c r="H46" s="35">
        <f t="shared" si="11"/>
        <v>153670.06158151201</v>
      </c>
      <c r="I46" s="35">
        <f t="shared" si="11"/>
        <v>173133.36096569689</v>
      </c>
      <c r="J46" s="35">
        <f t="shared" si="11"/>
        <v>193902.02735603991</v>
      </c>
      <c r="K46" s="35">
        <f t="shared" si="11"/>
        <v>216463.00708247951</v>
      </c>
      <c r="L46" s="35">
        <f t="shared" si="11"/>
        <v>240798.37701165472</v>
      </c>
      <c r="M46" s="35">
        <f t="shared" si="11"/>
        <v>266890.3932415382</v>
      </c>
      <c r="N46" s="35">
        <f>SUM(B46:M46)</f>
        <v>1827851.0690877212</v>
      </c>
    </row>
    <row r="47" spans="1:14">
      <c r="A47" t="s">
        <v>73</v>
      </c>
      <c r="B47" s="35">
        <f>-B46*(1-$B$11)</f>
        <v>-12399.999999999996</v>
      </c>
      <c r="C47" s="35">
        <f>-C46*(1-$B$11)</f>
        <v>-14975.999999999996</v>
      </c>
      <c r="D47" s="35">
        <f t="shared" ref="D47:M47" si="12">-D46*(1-$B$11)</f>
        <v>-17726.239999999994</v>
      </c>
      <c r="E47" s="35">
        <f t="shared" si="12"/>
        <v>-20648.977599999995</v>
      </c>
      <c r="F47" s="35">
        <f t="shared" si="12"/>
        <v>-23742.487823999993</v>
      </c>
      <c r="G47" s="35">
        <f t="shared" si="12"/>
        <v>-27105.062945759993</v>
      </c>
      <c r="H47" s="35">
        <f t="shared" si="12"/>
        <v>-30734.012316302396</v>
      </c>
      <c r="I47" s="35">
        <f t="shared" si="12"/>
        <v>-34626.672193139369</v>
      </c>
      <c r="J47" s="35">
        <f t="shared" si="12"/>
        <v>-38780.405471207974</v>
      </c>
      <c r="K47" s="35">
        <f t="shared" si="12"/>
        <v>-43292.601416495891</v>
      </c>
      <c r="L47" s="35">
        <f t="shared" si="12"/>
        <v>-48159.675402330933</v>
      </c>
      <c r="M47" s="35">
        <f t="shared" si="12"/>
        <v>-53378.07864830763</v>
      </c>
      <c r="N47" s="35">
        <f>SUM(B47:M47)</f>
        <v>-365570.21381754422</v>
      </c>
    </row>
    <row r="48" spans="1:14">
      <c r="A48" s="3" t="s">
        <v>74</v>
      </c>
      <c r="B48" s="37">
        <f>B46+B47</f>
        <v>49600</v>
      </c>
      <c r="C48" s="37">
        <f>C46+C47</f>
        <v>59904</v>
      </c>
      <c r="D48" s="37">
        <f t="shared" ref="D48:M48" si="13">D46+D47</f>
        <v>70904.960000000006</v>
      </c>
      <c r="E48" s="37">
        <f t="shared" si="13"/>
        <v>82595.910399999993</v>
      </c>
      <c r="F48" s="37">
        <f t="shared" si="13"/>
        <v>94969.951295999999</v>
      </c>
      <c r="G48" s="37">
        <f t="shared" si="13"/>
        <v>108420.25178304</v>
      </c>
      <c r="H48" s="37">
        <f t="shared" si="13"/>
        <v>122936.04926520961</v>
      </c>
      <c r="I48" s="37">
        <f t="shared" si="13"/>
        <v>138506.68877255754</v>
      </c>
      <c r="J48" s="37">
        <f t="shared" si="13"/>
        <v>155121.62188483193</v>
      </c>
      <c r="K48" s="37">
        <f t="shared" si="13"/>
        <v>173170.40566598362</v>
      </c>
      <c r="L48" s="37">
        <f t="shared" si="13"/>
        <v>192638.70160932379</v>
      </c>
      <c r="M48" s="37">
        <f t="shared" si="13"/>
        <v>213512.31459323058</v>
      </c>
      <c r="N48" s="37">
        <f>SUM(B48:M48)</f>
        <v>1462280.8552701771</v>
      </c>
    </row>
    <row r="49" spans="1:14">
      <c r="A49" t="s">
        <v>75</v>
      </c>
      <c r="B49" s="35">
        <f>-$B$26</f>
        <v>-285000</v>
      </c>
      <c r="C49" s="35">
        <f>B49*(1+$B$14)</f>
        <v>-293550</v>
      </c>
      <c r="D49" s="35">
        <f t="shared" ref="D49:M49" si="14">C49*(1+$B$14)</f>
        <v>-302356.5</v>
      </c>
      <c r="E49" s="35">
        <f t="shared" si="14"/>
        <v>-311427.19500000001</v>
      </c>
      <c r="F49" s="35">
        <f t="shared" si="14"/>
        <v>-320770.01085000002</v>
      </c>
      <c r="G49" s="35">
        <f t="shared" si="14"/>
        <v>-330393.11117550003</v>
      </c>
      <c r="H49" s="35">
        <f t="shared" si="14"/>
        <v>-340304.90451076505</v>
      </c>
      <c r="I49" s="35">
        <f t="shared" si="14"/>
        <v>-350514.05164608802</v>
      </c>
      <c r="J49" s="35">
        <f t="shared" si="14"/>
        <v>-361029.47319547069</v>
      </c>
      <c r="K49" s="35">
        <f t="shared" si="14"/>
        <v>-371860.35739133484</v>
      </c>
      <c r="L49" s="35">
        <f t="shared" si="14"/>
        <v>-383016.16811307491</v>
      </c>
      <c r="M49" s="35">
        <f t="shared" si="14"/>
        <v>-394506.65315646719</v>
      </c>
      <c r="N49" s="35">
        <f>SUM(B49:M49)</f>
        <v>-4044728.4250387009</v>
      </c>
    </row>
    <row r="50" spans="1:14">
      <c r="A50" s="3" t="s">
        <v>76</v>
      </c>
      <c r="B50" s="37">
        <f>B48+B49</f>
        <v>-235400</v>
      </c>
      <c r="C50" s="37">
        <f>C48+C49</f>
        <v>-233646</v>
      </c>
      <c r="D50" s="37">
        <f t="shared" ref="D50:M50" si="15">D48+D49</f>
        <v>-231451.53999999998</v>
      </c>
      <c r="E50" s="37">
        <f t="shared" si="15"/>
        <v>-228831.28460000001</v>
      </c>
      <c r="F50" s="37">
        <f t="shared" si="15"/>
        <v>-225800.05955400004</v>
      </c>
      <c r="G50" s="37">
        <f t="shared" si="15"/>
        <v>-221972.85939246003</v>
      </c>
      <c r="H50" s="37">
        <f t="shared" si="15"/>
        <v>-217368.85524555543</v>
      </c>
      <c r="I50" s="37">
        <f t="shared" si="15"/>
        <v>-212007.36287353048</v>
      </c>
      <c r="J50" s="37">
        <f t="shared" si="15"/>
        <v>-205907.85131063877</v>
      </c>
      <c r="K50" s="37">
        <f t="shared" si="15"/>
        <v>-198689.95172535122</v>
      </c>
      <c r="L50" s="37">
        <f t="shared" si="15"/>
        <v>-190377.46650375111</v>
      </c>
      <c r="M50" s="37">
        <f t="shared" si="15"/>
        <v>-180994.33856323661</v>
      </c>
      <c r="N50" s="37">
        <f>SUM(B50:M50)</f>
        <v>-2582447.5697685233</v>
      </c>
    </row>
    <row r="52" spans="1:14">
      <c r="A52" s="10" t="s">
        <v>78</v>
      </c>
    </row>
    <row r="53" spans="1:14">
      <c r="A53" t="s">
        <v>79</v>
      </c>
      <c r="B53" s="35">
        <f>$B$13</f>
        <v>3000000</v>
      </c>
      <c r="C53" s="35">
        <f>B57</f>
        <v>2564600</v>
      </c>
      <c r="D53" s="35">
        <f t="shared" ref="D53:M53" si="16">C57</f>
        <v>2114954</v>
      </c>
      <c r="E53" s="35">
        <f t="shared" si="16"/>
        <v>1651502.46</v>
      </c>
      <c r="F53" s="35">
        <f t="shared" si="16"/>
        <v>1174671.1754000001</v>
      </c>
      <c r="G53" s="35">
        <f t="shared" si="16"/>
        <v>684871.11584600003</v>
      </c>
      <c r="H53" s="35">
        <f t="shared" si="16"/>
        <v>174898.25645354</v>
      </c>
      <c r="I53" s="35">
        <f t="shared" si="16"/>
        <v>-354470.5987920154</v>
      </c>
      <c r="J53" s="35">
        <f t="shared" si="16"/>
        <v>-902477.96166554582</v>
      </c>
      <c r="K53" s="35">
        <f t="shared" si="16"/>
        <v>-1468385.8129761845</v>
      </c>
      <c r="L53" s="35">
        <f t="shared" si="16"/>
        <v>-2059075.7647015357</v>
      </c>
      <c r="M53" s="35">
        <f t="shared" si="16"/>
        <v>-2673453.2312052869</v>
      </c>
      <c r="N53" s="35">
        <f>B53</f>
        <v>3000000</v>
      </c>
    </row>
    <row r="54" spans="1:14">
      <c r="A54" t="s">
        <v>80</v>
      </c>
      <c r="B54" s="35">
        <f>B50</f>
        <v>-235400</v>
      </c>
      <c r="C54" s="35">
        <f>C50</f>
        <v>-233646</v>
      </c>
      <c r="D54" s="35">
        <f t="shared" ref="D54:M54" si="17">D50</f>
        <v>-231451.53999999998</v>
      </c>
      <c r="E54" s="35">
        <f t="shared" si="17"/>
        <v>-228831.28460000001</v>
      </c>
      <c r="F54" s="35">
        <f t="shared" si="17"/>
        <v>-225800.05955400004</v>
      </c>
      <c r="G54" s="35">
        <f t="shared" si="17"/>
        <v>-221972.85939246003</v>
      </c>
      <c r="H54" s="35">
        <f t="shared" si="17"/>
        <v>-217368.85524555543</v>
      </c>
      <c r="I54" s="35">
        <f t="shared" si="17"/>
        <v>-212007.36287353048</v>
      </c>
      <c r="J54" s="35">
        <f t="shared" si="17"/>
        <v>-205907.85131063877</v>
      </c>
      <c r="K54" s="35">
        <f t="shared" si="17"/>
        <v>-198689.95172535122</v>
      </c>
      <c r="L54" s="35">
        <f t="shared" si="17"/>
        <v>-190377.46650375111</v>
      </c>
      <c r="M54" s="35">
        <f t="shared" si="17"/>
        <v>-180994.33856323661</v>
      </c>
      <c r="N54" s="35">
        <f>SUM(B54:M54)</f>
        <v>-2582447.5697685233</v>
      </c>
    </row>
    <row r="55" spans="1:14">
      <c r="A55" t="s">
        <v>81</v>
      </c>
      <c r="B55" s="35">
        <f>-B32*$B$12</f>
        <v>-200000</v>
      </c>
      <c r="C55" s="35">
        <f>-C32*$B$12</f>
        <v>-216000</v>
      </c>
      <c r="D55" s="35">
        <f t="shared" ref="D55:M55" si="18">-D32*$B$12</f>
        <v>-232000</v>
      </c>
      <c r="E55" s="35">
        <f t="shared" si="18"/>
        <v>-248000</v>
      </c>
      <c r="F55" s="35">
        <f t="shared" si="18"/>
        <v>-264000</v>
      </c>
      <c r="G55" s="35">
        <f t="shared" si="18"/>
        <v>-288000</v>
      </c>
      <c r="H55" s="35">
        <f t="shared" si="18"/>
        <v>-312000</v>
      </c>
      <c r="I55" s="35">
        <f t="shared" si="18"/>
        <v>-336000</v>
      </c>
      <c r="J55" s="35">
        <f t="shared" si="18"/>
        <v>-360000</v>
      </c>
      <c r="K55" s="35">
        <f t="shared" si="18"/>
        <v>-392000</v>
      </c>
      <c r="L55" s="35">
        <f t="shared" si="18"/>
        <v>-424000</v>
      </c>
      <c r="M55" s="35">
        <f t="shared" si="18"/>
        <v>-456000</v>
      </c>
      <c r="N55" s="35">
        <f>SUM(B55:M55)</f>
        <v>-3728000</v>
      </c>
    </row>
    <row r="56" spans="1:14">
      <c r="A56" t="s">
        <v>82</v>
      </c>
      <c r="B56" s="35">
        <f>B54+B55</f>
        <v>-435400</v>
      </c>
      <c r="C56" s="35">
        <f>C54+C55</f>
        <v>-449646</v>
      </c>
      <c r="D56" s="35">
        <f t="shared" ref="D56:M56" si="19">D54+D55</f>
        <v>-463451.54</v>
      </c>
      <c r="E56" s="35">
        <f t="shared" si="19"/>
        <v>-476831.28460000001</v>
      </c>
      <c r="F56" s="35">
        <f t="shared" si="19"/>
        <v>-489800.05955400004</v>
      </c>
      <c r="G56" s="35">
        <f t="shared" si="19"/>
        <v>-509972.85939246003</v>
      </c>
      <c r="H56" s="35">
        <f t="shared" si="19"/>
        <v>-529368.8552455554</v>
      </c>
      <c r="I56" s="35">
        <f t="shared" si="19"/>
        <v>-548007.36287353048</v>
      </c>
      <c r="J56" s="35">
        <f t="shared" si="19"/>
        <v>-565907.85131063871</v>
      </c>
      <c r="K56" s="35">
        <f t="shared" si="19"/>
        <v>-590689.95172535116</v>
      </c>
      <c r="L56" s="35">
        <f t="shared" si="19"/>
        <v>-614377.46650375111</v>
      </c>
      <c r="M56" s="35">
        <f t="shared" si="19"/>
        <v>-636994.33856323664</v>
      </c>
      <c r="N56" s="35">
        <f>SUM(B56:M56)</f>
        <v>-6310447.5697685238</v>
      </c>
    </row>
    <row r="57" spans="1:14">
      <c r="A57" s="3" t="s">
        <v>83</v>
      </c>
      <c r="B57" s="37">
        <f>B53+B56</f>
        <v>2564600</v>
      </c>
      <c r="C57" s="37">
        <f>C53+C56</f>
        <v>2114954</v>
      </c>
      <c r="D57" s="37">
        <f t="shared" ref="D57:M57" si="20">D53+D56</f>
        <v>1651502.46</v>
      </c>
      <c r="E57" s="37">
        <f t="shared" si="20"/>
        <v>1174671.1754000001</v>
      </c>
      <c r="F57" s="37">
        <f t="shared" si="20"/>
        <v>684871.11584600003</v>
      </c>
      <c r="G57" s="37">
        <f t="shared" si="20"/>
        <v>174898.25645354</v>
      </c>
      <c r="H57" s="37">
        <f t="shared" si="20"/>
        <v>-354470.5987920154</v>
      </c>
      <c r="I57" s="37">
        <f t="shared" si="20"/>
        <v>-902477.96166554582</v>
      </c>
      <c r="J57" s="37">
        <f t="shared" si="20"/>
        <v>-1468385.8129761845</v>
      </c>
      <c r="K57" s="37">
        <f t="shared" si="20"/>
        <v>-2059075.7647015357</v>
      </c>
      <c r="L57" s="37">
        <f t="shared" si="20"/>
        <v>-2673453.2312052869</v>
      </c>
      <c r="M57" s="37">
        <f t="shared" si="20"/>
        <v>-3310447.5697685238</v>
      </c>
      <c r="N57" s="37">
        <f>M57</f>
        <v>-3310447.5697685238</v>
      </c>
    </row>
    <row r="59" spans="1:14">
      <c r="A59" s="3" t="s">
        <v>84</v>
      </c>
      <c r="B59" s="37">
        <f>-B56</f>
        <v>435400</v>
      </c>
      <c r="C59" s="37">
        <f t="shared" ref="B59:M59" si="21">-C56</f>
        <v>449646</v>
      </c>
      <c r="D59" s="37">
        <f t="shared" si="21"/>
        <v>463451.54</v>
      </c>
      <c r="E59" s="37">
        <f t="shared" si="21"/>
        <v>476831.28460000001</v>
      </c>
      <c r="F59" s="37">
        <f t="shared" si="21"/>
        <v>489800.05955400004</v>
      </c>
      <c r="G59" s="37">
        <f t="shared" si="21"/>
        <v>509972.85939246003</v>
      </c>
      <c r="H59" s="37">
        <f t="shared" si="21"/>
        <v>529368.8552455554</v>
      </c>
      <c r="I59" s="37">
        <f t="shared" si="21"/>
        <v>548007.36287353048</v>
      </c>
      <c r="J59" s="37">
        <f t="shared" si="21"/>
        <v>565907.85131063871</v>
      </c>
      <c r="K59" s="37">
        <f t="shared" si="21"/>
        <v>590689.95172535116</v>
      </c>
      <c r="L59" s="37">
        <f t="shared" si="21"/>
        <v>614377.46650375111</v>
      </c>
      <c r="M59" s="37">
        <f t="shared" si="21"/>
        <v>636994.33856323664</v>
      </c>
      <c r="N59" s="37">
        <f>AVERAGE(B59:M59)</f>
        <v>525870.63081404369</v>
      </c>
    </row>
    <row r="61" spans="1:14">
      <c r="A61" s="2" t="s">
        <v>85</v>
      </c>
      <c r="B61" s="2"/>
      <c r="C61" s="2"/>
      <c r="D61" s="2"/>
      <c r="E61" s="2"/>
      <c r="F61" s="2"/>
      <c r="G61" s="2"/>
    </row>
    <row r="62" spans="1:14">
      <c r="A62" s="10" t="s">
        <v>86</v>
      </c>
    </row>
    <row r="63" spans="1:14">
      <c r="A63" t="s">
        <v>87</v>
      </c>
      <c r="B63" s="35">
        <f>$B$12</f>
        <v>8000</v>
      </c>
      <c r="C63" s="35">
        <f t="shared" ref="C63:M63" si="22">$B$12</f>
        <v>8000</v>
      </c>
      <c r="D63" s="35">
        <f t="shared" si="22"/>
        <v>8000</v>
      </c>
      <c r="E63" s="35">
        <f t="shared" si="22"/>
        <v>8000</v>
      </c>
      <c r="F63" s="35">
        <f t="shared" si="22"/>
        <v>8000</v>
      </c>
      <c r="G63" s="35">
        <f t="shared" si="22"/>
        <v>8000</v>
      </c>
      <c r="H63" s="35">
        <f t="shared" si="22"/>
        <v>8000</v>
      </c>
      <c r="I63" s="35">
        <f t="shared" si="22"/>
        <v>8000</v>
      </c>
      <c r="J63" s="35">
        <f t="shared" si="22"/>
        <v>8000</v>
      </c>
      <c r="K63" s="35">
        <f t="shared" si="22"/>
        <v>8000</v>
      </c>
      <c r="L63" s="35">
        <f t="shared" si="22"/>
        <v>8000</v>
      </c>
      <c r="M63" s="35">
        <f t="shared" si="22"/>
        <v>8000</v>
      </c>
      <c r="N63" s="35">
        <f t="shared" ref="N63:N68" si="23">AVERAGE(B63:M63)</f>
        <v>8000</v>
      </c>
    </row>
    <row r="64" spans="1:14">
      <c r="A64" t="s">
        <v>88</v>
      </c>
      <c r="B64" s="35">
        <f>B42/B34</f>
        <v>508.19672131147541</v>
      </c>
      <c r="C64" s="35">
        <f t="shared" ref="C64:M64" si="24">C42/C34</f>
        <v>516.41379310344826</v>
      </c>
      <c r="D64" s="35">
        <f t="shared" si="24"/>
        <v>521.36</v>
      </c>
      <c r="E64" s="35">
        <f t="shared" si="24"/>
        <v>526.7596326530612</v>
      </c>
      <c r="F64" s="35">
        <f t="shared" si="24"/>
        <v>532.3427763228699</v>
      </c>
      <c r="G64" s="35">
        <f t="shared" si="24"/>
        <v>537.79886797142854</v>
      </c>
      <c r="H64" s="35">
        <f t="shared" si="24"/>
        <v>543.0037511714205</v>
      </c>
      <c r="I64" s="35">
        <f t="shared" si="24"/>
        <v>546.16202197380721</v>
      </c>
      <c r="J64" s="35">
        <f t="shared" si="24"/>
        <v>550.85803226147698</v>
      </c>
      <c r="K64" s="35">
        <f t="shared" si="24"/>
        <v>555.03335149353722</v>
      </c>
      <c r="L64" s="35">
        <f t="shared" si="24"/>
        <v>558.69693042147264</v>
      </c>
      <c r="M64" s="35">
        <f t="shared" si="24"/>
        <v>561.87451208744881</v>
      </c>
      <c r="N64" s="35">
        <f t="shared" si="23"/>
        <v>538.20836589762064</v>
      </c>
    </row>
    <row r="65" spans="1:20">
      <c r="A65" t="s">
        <v>16</v>
      </c>
      <c r="B65" s="16">
        <f>$B$11</f>
        <v>0.8</v>
      </c>
      <c r="C65" s="16">
        <f t="shared" ref="C65:M65" si="25">$B$11</f>
        <v>0.8</v>
      </c>
      <c r="D65" s="16">
        <f t="shared" si="25"/>
        <v>0.8</v>
      </c>
      <c r="E65" s="16">
        <f t="shared" si="25"/>
        <v>0.8</v>
      </c>
      <c r="F65" s="16">
        <f t="shared" si="25"/>
        <v>0.8</v>
      </c>
      <c r="G65" s="16">
        <f t="shared" si="25"/>
        <v>0.8</v>
      </c>
      <c r="H65" s="16">
        <f t="shared" si="25"/>
        <v>0.8</v>
      </c>
      <c r="I65" s="16">
        <f t="shared" si="25"/>
        <v>0.8</v>
      </c>
      <c r="J65" s="16">
        <f t="shared" si="25"/>
        <v>0.8</v>
      </c>
      <c r="K65" s="16">
        <f t="shared" si="25"/>
        <v>0.8</v>
      </c>
      <c r="L65" s="16">
        <f t="shared" si="25"/>
        <v>0.8</v>
      </c>
      <c r="M65" s="16">
        <f t="shared" si="25"/>
        <v>0.8</v>
      </c>
      <c r="N65" s="16">
        <f t="shared" si="23"/>
        <v>0.79999999999999993</v>
      </c>
    </row>
    <row r="66" spans="1:20">
      <c r="A66" t="s">
        <v>89</v>
      </c>
      <c r="B66" s="35">
        <f>(B64*B65)/$B$9</f>
        <v>13551.912568306012</v>
      </c>
      <c r="C66" s="35">
        <f t="shared" ref="C66:M66" si="26">(C64*C65)/$B$9</f>
        <v>13771.034482758621</v>
      </c>
      <c r="D66" s="35">
        <f t="shared" si="26"/>
        <v>13902.933333333334</v>
      </c>
      <c r="E66" s="35">
        <f t="shared" si="26"/>
        <v>14046.923537414967</v>
      </c>
      <c r="F66" s="35">
        <f t="shared" si="26"/>
        <v>14195.807368609865</v>
      </c>
      <c r="G66" s="35">
        <f t="shared" si="26"/>
        <v>14341.303145904763</v>
      </c>
      <c r="H66" s="35">
        <f t="shared" si="26"/>
        <v>14480.100031237882</v>
      </c>
      <c r="I66" s="35">
        <f t="shared" si="26"/>
        <v>14564.320585968193</v>
      </c>
      <c r="J66" s="35">
        <f t="shared" si="26"/>
        <v>14689.547526972721</v>
      </c>
      <c r="K66" s="35">
        <f t="shared" si="26"/>
        <v>14800.889373160993</v>
      </c>
      <c r="L66" s="35">
        <f t="shared" si="26"/>
        <v>14898.584811239272</v>
      </c>
      <c r="M66" s="35">
        <f t="shared" si="26"/>
        <v>14983.320322331969</v>
      </c>
      <c r="N66" s="35">
        <f t="shared" si="23"/>
        <v>14352.223090603215</v>
      </c>
    </row>
    <row r="67" spans="1:20">
      <c r="A67" t="s">
        <v>90</v>
      </c>
      <c r="B67" s="17">
        <f>B66/B63</f>
        <v>1.6939890710382515</v>
      </c>
      <c r="C67" s="17">
        <f t="shared" ref="C67:M67" si="27">C66/C63</f>
        <v>1.7213793103448276</v>
      </c>
      <c r="D67" s="17">
        <f t="shared" si="27"/>
        <v>1.7378666666666669</v>
      </c>
      <c r="E67" s="17">
        <f t="shared" si="27"/>
        <v>1.7558654421768709</v>
      </c>
      <c r="F67" s="17">
        <f t="shared" si="27"/>
        <v>1.7744759210762331</v>
      </c>
      <c r="G67" s="17">
        <f t="shared" si="27"/>
        <v>1.7926628932380955</v>
      </c>
      <c r="H67" s="17">
        <f t="shared" si="27"/>
        <v>1.8100125039047352</v>
      </c>
      <c r="I67" s="17">
        <f t="shared" si="27"/>
        <v>1.8205400732460242</v>
      </c>
      <c r="J67" s="17">
        <f t="shared" si="27"/>
        <v>1.8361934408715901</v>
      </c>
      <c r="K67" s="17">
        <f t="shared" si="27"/>
        <v>1.8501111716451242</v>
      </c>
      <c r="L67" s="17">
        <f t="shared" si="27"/>
        <v>1.8623231014049091</v>
      </c>
      <c r="M67" s="17">
        <f t="shared" si="27"/>
        <v>1.872915040291496</v>
      </c>
      <c r="N67" s="17">
        <f t="shared" si="23"/>
        <v>1.7940278863254016</v>
      </c>
    </row>
    <row r="68" spans="1:20">
      <c r="A68" t="s">
        <v>91</v>
      </c>
      <c r="B68" s="18">
        <f>B63/(B64*B65)</f>
        <v>19.677419354838708</v>
      </c>
      <c r="C68" s="18">
        <f t="shared" ref="C68:M68" si="28">C63/(C64*C65)</f>
        <v>19.364316239316238</v>
      </c>
      <c r="D68" s="18">
        <f t="shared" si="28"/>
        <v>19.180604572656129</v>
      </c>
      <c r="E68" s="18">
        <f t="shared" si="28"/>
        <v>18.983990761847696</v>
      </c>
      <c r="F68" s="18">
        <f t="shared" si="28"/>
        <v>18.784889069171712</v>
      </c>
      <c r="G68" s="18">
        <f t="shared" si="28"/>
        <v>18.59431210355628</v>
      </c>
      <c r="H68" s="18">
        <f t="shared" si="28"/>
        <v>18.416079038914607</v>
      </c>
      <c r="I68" s="18">
        <f t="shared" si="28"/>
        <v>18.309585063898087</v>
      </c>
      <c r="J68" s="18">
        <f t="shared" si="28"/>
        <v>18.15349766063369</v>
      </c>
      <c r="K68" s="18">
        <f t="shared" si="28"/>
        <v>18.016935330266257</v>
      </c>
      <c r="L68" s="18">
        <f t="shared" si="28"/>
        <v>17.898791733930143</v>
      </c>
      <c r="M68" s="18">
        <f t="shared" si="28"/>
        <v>17.797568291269322</v>
      </c>
      <c r="N68" s="18">
        <f t="shared" si="23"/>
        <v>18.598165768358239</v>
      </c>
    </row>
    <row r="70" spans="1:20">
      <c r="A70" s="10" t="s">
        <v>92</v>
      </c>
    </row>
    <row r="71" spans="1:20">
      <c r="A71" t="s">
        <v>93</v>
      </c>
      <c r="B71" s="13" t="s">
        <v>77</v>
      </c>
      <c r="C71" s="16">
        <f>(C42-B42)/B42</f>
        <v>0.20774193548387096</v>
      </c>
      <c r="D71" s="16">
        <f t="shared" ref="D71:M71" si="29">(D42-C42)/C42</f>
        <v>0.18364316239316236</v>
      </c>
      <c r="E71" s="16">
        <f t="shared" si="29"/>
        <v>0.16488198286833525</v>
      </c>
      <c r="F71" s="16">
        <f t="shared" si="29"/>
        <v>0.14981420794412606</v>
      </c>
      <c r="G71" s="16">
        <f t="shared" si="29"/>
        <v>0.14162690728479413</v>
      </c>
      <c r="H71" s="16">
        <f t="shared" si="29"/>
        <v>0.13388455794418555</v>
      </c>
      <c r="I71" s="16">
        <f t="shared" si="29"/>
        <v>0.12665641689653948</v>
      </c>
      <c r="J71" s="16">
        <f t="shared" si="29"/>
        <v>0.11995762269328288</v>
      </c>
      <c r="K71" s="16">
        <f t="shared" si="29"/>
        <v>0.11635246951293336</v>
      </c>
      <c r="L71" s="16">
        <f t="shared" si="29"/>
        <v>0.11242276570565538</v>
      </c>
      <c r="M71" s="16">
        <f t="shared" si="29"/>
        <v>0.10835627944710198</v>
      </c>
      <c r="N71" s="16">
        <f>AVERAGE(C71:M71)</f>
        <v>0.14230348256127157</v>
      </c>
    </row>
    <row r="72" spans="1:20">
      <c r="A72" t="s">
        <v>94</v>
      </c>
      <c r="B72" s="16">
        <f>(B42+B39-B40)/B37</f>
        <v>1.29</v>
      </c>
      <c r="C72" s="16">
        <f>(C42+C39-C40)/C37</f>
        <v>1.257741935483871</v>
      </c>
      <c r="D72" s="16">
        <f t="shared" ref="D72:M72" si="30">(D42+D39-D40)/D37</f>
        <v>1.2336431623931623</v>
      </c>
      <c r="E72" s="16">
        <f t="shared" si="30"/>
        <v>1.2148819828683353</v>
      </c>
      <c r="F72" s="16">
        <f t="shared" si="30"/>
        <v>1.1998142079441261</v>
      </c>
      <c r="G72" s="16">
        <f t="shared" si="30"/>
        <v>1.1916269072847943</v>
      </c>
      <c r="H72" s="16">
        <f t="shared" si="30"/>
        <v>1.1838845579441857</v>
      </c>
      <c r="I72" s="16">
        <f t="shared" si="30"/>
        <v>1.1766564168965394</v>
      </c>
      <c r="J72" s="16">
        <f t="shared" si="30"/>
        <v>1.1699576226932829</v>
      </c>
      <c r="K72" s="16">
        <f t="shared" si="30"/>
        <v>1.1663524695129333</v>
      </c>
      <c r="L72" s="16">
        <f t="shared" si="30"/>
        <v>1.1624227657056554</v>
      </c>
      <c r="M72" s="16">
        <f t="shared" si="30"/>
        <v>1.1583562794471021</v>
      </c>
      <c r="N72" s="16">
        <f>AVERAGE(B72:M72)</f>
        <v>1.2004448590144989</v>
      </c>
    </row>
    <row r="73" spans="1:20">
      <c r="A73" t="s">
        <v>95</v>
      </c>
      <c r="B73" s="16">
        <f>$B$9</f>
        <v>0.03</v>
      </c>
      <c r="C73" s="16">
        <f>$B$9</f>
        <v>0.03</v>
      </c>
      <c r="D73" s="16">
        <f t="shared" ref="D73:M73" si="31">$B$9</f>
        <v>0.03</v>
      </c>
      <c r="E73" s="16">
        <f t="shared" si="31"/>
        <v>0.03</v>
      </c>
      <c r="F73" s="16">
        <f t="shared" si="31"/>
        <v>0.03</v>
      </c>
      <c r="G73" s="16">
        <f t="shared" si="31"/>
        <v>0.03</v>
      </c>
      <c r="H73" s="16">
        <f t="shared" si="31"/>
        <v>0.03</v>
      </c>
      <c r="I73" s="16">
        <f t="shared" si="31"/>
        <v>0.03</v>
      </c>
      <c r="J73" s="16">
        <f t="shared" si="31"/>
        <v>0.03</v>
      </c>
      <c r="K73" s="16">
        <f t="shared" si="31"/>
        <v>0.03</v>
      </c>
      <c r="L73" s="16">
        <f t="shared" si="31"/>
        <v>0.03</v>
      </c>
      <c r="M73" s="16">
        <f t="shared" si="31"/>
        <v>0.03</v>
      </c>
      <c r="N73" s="16">
        <f>AVERAGE(B73:M73)</f>
        <v>3.0000000000000009E-2</v>
      </c>
    </row>
    <row r="74" spans="1:20">
      <c r="A74" t="s">
        <v>96</v>
      </c>
      <c r="B74" s="16">
        <f>($B$9-$B$10)</f>
        <v>9.9999999999999985E-3</v>
      </c>
      <c r="C74" s="16">
        <f>($B$9-$B$10)</f>
        <v>9.9999999999999985E-3</v>
      </c>
      <c r="D74" s="16">
        <f t="shared" ref="D74:M74" si="32">($B$9-$B$10)</f>
        <v>9.9999999999999985E-3</v>
      </c>
      <c r="E74" s="16">
        <f t="shared" si="32"/>
        <v>9.9999999999999985E-3</v>
      </c>
      <c r="F74" s="16">
        <f t="shared" si="32"/>
        <v>9.9999999999999985E-3</v>
      </c>
      <c r="G74" s="16">
        <f t="shared" si="32"/>
        <v>9.9999999999999985E-3</v>
      </c>
      <c r="H74" s="16">
        <f t="shared" si="32"/>
        <v>9.9999999999999985E-3</v>
      </c>
      <c r="I74" s="16">
        <f t="shared" si="32"/>
        <v>9.9999999999999985E-3</v>
      </c>
      <c r="J74" s="16">
        <f t="shared" si="32"/>
        <v>9.9999999999999985E-3</v>
      </c>
      <c r="K74" s="16">
        <f t="shared" si="32"/>
        <v>9.9999999999999985E-3</v>
      </c>
      <c r="L74" s="16">
        <f t="shared" si="32"/>
        <v>9.9999999999999985E-3</v>
      </c>
      <c r="M74" s="16">
        <f t="shared" si="32"/>
        <v>9.9999999999999985E-3</v>
      </c>
      <c r="N74" s="16">
        <f>AVERAGE(B74:M74)</f>
        <v>9.9999999999999967E-3</v>
      </c>
    </row>
    <row r="75" spans="1:20">
      <c r="A75" t="s">
        <v>97</v>
      </c>
      <c r="B75" s="17">
        <f>(B38+B39)/(-B40)</f>
        <v>9</v>
      </c>
      <c r="C75" s="17">
        <f>(C38+C39)/(-C40)</f>
        <v>7.924731182795699</v>
      </c>
      <c r="D75" s="17">
        <f t="shared" ref="D75:M75" si="33">(D38+D39)/(-D40)</f>
        <v>7.1214387464387467</v>
      </c>
      <c r="E75" s="17">
        <f t="shared" si="33"/>
        <v>6.4960660956111775</v>
      </c>
      <c r="F75" s="17">
        <f t="shared" si="33"/>
        <v>5.9938069314708677</v>
      </c>
      <c r="G75" s="17">
        <f t="shared" si="33"/>
        <v>5.7208969094931357</v>
      </c>
      <c r="H75" s="17">
        <f t="shared" si="33"/>
        <v>5.4628185981395161</v>
      </c>
      <c r="I75" s="17">
        <f t="shared" si="33"/>
        <v>5.2218805632179821</v>
      </c>
      <c r="J75" s="17">
        <f t="shared" si="33"/>
        <v>4.9985874231094325</v>
      </c>
      <c r="K75" s="17">
        <f t="shared" si="33"/>
        <v>4.878415650431112</v>
      </c>
      <c r="L75" s="17">
        <f t="shared" si="33"/>
        <v>4.7474255235218443</v>
      </c>
      <c r="M75" s="17">
        <f t="shared" si="33"/>
        <v>4.6118759815700638</v>
      </c>
      <c r="N75" s="17">
        <f>AVERAGE(B75:M75)</f>
        <v>6.0148286338166308</v>
      </c>
    </row>
    <row r="77" spans="1:20">
      <c r="A77" s="15" t="s">
        <v>98</v>
      </c>
      <c r="B77" s="19">
        <f>IF(B56&lt;0,B57/(-B56),"Cash Positive")</f>
        <v>5.8902158934313276</v>
      </c>
      <c r="C77" s="19">
        <f t="shared" ref="C77:M77" si="34">IF(C56&lt;0,C57/(-C56),"Cash Positive")</f>
        <v>4.7035979414917515</v>
      </c>
      <c r="D77" s="19">
        <f t="shared" si="34"/>
        <v>3.5634846741473769</v>
      </c>
      <c r="E77" s="19">
        <f t="shared" si="34"/>
        <v>2.4634943497581072</v>
      </c>
      <c r="F77" s="19">
        <f t="shared" si="34"/>
        <v>1.3982667059486007</v>
      </c>
      <c r="G77" s="19">
        <f t="shared" si="34"/>
        <v>0.34295600879995747</v>
      </c>
      <c r="H77" s="19">
        <f t="shared" si="34"/>
        <v>-0.66960984817965741</v>
      </c>
      <c r="I77" s="19">
        <f t="shared" si="34"/>
        <v>-1.6468354675625414</v>
      </c>
      <c r="J77" s="19">
        <f t="shared" si="34"/>
        <v>-2.594743666438649</v>
      </c>
      <c r="K77" s="19">
        <f t="shared" si="34"/>
        <v>-3.4858824984023586</v>
      </c>
      <c r="L77" s="19">
        <f t="shared" si="34"/>
        <v>-4.3514832118097608</v>
      </c>
      <c r="M77" s="19">
        <f t="shared" si="34"/>
        <v>-5.1969811493699547</v>
      </c>
      <c r="N77" s="19">
        <f>M77</f>
        <v>-5.1969811493699547</v>
      </c>
    </row>
    <row r="79" spans="1:20">
      <c r="A79" s="2" t="s">
        <v>120</v>
      </c>
      <c r="B79" s="2"/>
      <c r="C79" s="2"/>
      <c r="D79" s="2"/>
      <c r="E79" s="2"/>
      <c r="F79" s="2"/>
    </row>
    <row r="80" spans="1:20">
      <c r="A80" s="3" t="s">
        <v>121</v>
      </c>
      <c r="E80" s="3" t="s">
        <v>122</v>
      </c>
      <c r="I80" t="s">
        <v>45</v>
      </c>
      <c r="J80" t="s">
        <v>46</v>
      </c>
      <c r="K80" t="s">
        <v>47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</row>
    <row r="81" spans="1:20">
      <c r="A81" s="4" t="s">
        <v>123</v>
      </c>
      <c r="B81" s="4" t="s">
        <v>124</v>
      </c>
      <c r="C81" s="4" t="s">
        <v>125</v>
      </c>
      <c r="E81" s="4" t="s">
        <v>126</v>
      </c>
      <c r="F81" s="4" t="s">
        <v>127</v>
      </c>
      <c r="H81" s="4" t="s">
        <v>104</v>
      </c>
      <c r="I81">
        <f t="shared" ref="I81:T81" si="35">B42</f>
        <v>62000</v>
      </c>
      <c r="J81">
        <f t="shared" si="35"/>
        <v>74880</v>
      </c>
      <c r="K81">
        <f t="shared" si="35"/>
        <v>88631.2</v>
      </c>
      <c r="L81">
        <f t="shared" si="35"/>
        <v>103244.88799999999</v>
      </c>
      <c r="M81">
        <f t="shared" si="35"/>
        <v>118712.43912</v>
      </c>
      <c r="N81">
        <f t="shared" si="35"/>
        <v>135525.3147288</v>
      </c>
      <c r="O81">
        <f t="shared" si="35"/>
        <v>153670.06158151201</v>
      </c>
      <c r="P81">
        <f t="shared" si="35"/>
        <v>173133.36096569689</v>
      </c>
      <c r="Q81">
        <f t="shared" si="35"/>
        <v>193902.02735603991</v>
      </c>
      <c r="R81">
        <f t="shared" si="35"/>
        <v>216463.00708247951</v>
      </c>
      <c r="S81">
        <f t="shared" si="35"/>
        <v>240798.37701165472</v>
      </c>
      <c r="T81">
        <f t="shared" si="35"/>
        <v>266890.3932415382</v>
      </c>
    </row>
    <row r="82" spans="1:20">
      <c r="A82" s="16">
        <v>0.01</v>
      </c>
      <c r="B82" s="35">
        <f>($B$8*$B$11)/A82</f>
        <v>40000</v>
      </c>
      <c r="C82" s="17">
        <f>B82/$B$12</f>
        <v>5</v>
      </c>
      <c r="E82" s="16">
        <v>0.03</v>
      </c>
      <c r="F82" s="35">
        <f>(B5+E82*(B6*((1+E82)^12-1)/E82)*B8)*12</f>
        <v>663864.13302692678</v>
      </c>
      <c r="H82" t="s">
        <v>182</v>
      </c>
      <c r="I82" s="35">
        <f t="shared" ref="I82:T82" si="36">B57/100</f>
        <v>25646</v>
      </c>
      <c r="J82" s="35">
        <f t="shared" si="36"/>
        <v>21149.54</v>
      </c>
      <c r="K82" s="35">
        <f t="shared" si="36"/>
        <v>16515.024600000001</v>
      </c>
      <c r="L82" s="35">
        <f t="shared" si="36"/>
        <v>11746.711754</v>
      </c>
      <c r="M82" s="35">
        <f t="shared" si="36"/>
        <v>6848.7111584600007</v>
      </c>
      <c r="N82" s="35">
        <f t="shared" si="36"/>
        <v>1748.9825645354001</v>
      </c>
      <c r="O82" s="35">
        <f t="shared" si="36"/>
        <v>-3544.7059879201538</v>
      </c>
      <c r="P82" s="35">
        <f t="shared" si="36"/>
        <v>-9024.7796166554581</v>
      </c>
      <c r="Q82" s="35">
        <f t="shared" si="36"/>
        <v>-14683.858129761846</v>
      </c>
      <c r="R82" s="35">
        <f t="shared" si="36"/>
        <v>-20590.757647015358</v>
      </c>
      <c r="S82" s="35">
        <f t="shared" si="36"/>
        <v>-26734.53231205287</v>
      </c>
      <c r="T82" s="35">
        <f t="shared" si="36"/>
        <v>-33104.475697685237</v>
      </c>
    </row>
    <row r="83" spans="1:20">
      <c r="A83" s="16">
        <v>0.02</v>
      </c>
      <c r="B83" s="35">
        <f>($B$8*$B$11)/A83</f>
        <v>20000</v>
      </c>
      <c r="C83" s="17">
        <f>B83/$B$12</f>
        <v>2.5</v>
      </c>
      <c r="E83" s="16">
        <v>0.05</v>
      </c>
      <c r="F83" s="35">
        <f>(B5+E83*(B6*((1+E83)^12-1)/E83)*B8)*12</f>
        <v>719378.44890331943</v>
      </c>
    </row>
    <row r="84" spans="1:20">
      <c r="A84" s="23">
        <v>0.03</v>
      </c>
      <c r="B84" s="38">
        <f>($B$8*$B$11)/A84</f>
        <v>13333.333333333334</v>
      </c>
      <c r="C84" s="25">
        <f>B84/$B$12</f>
        <v>1.6666666666666667</v>
      </c>
      <c r="E84" s="23">
        <v>0.08</v>
      </c>
      <c r="F84" s="38">
        <f>(B5+E84*(B6*((1+E84)^12-1)/E84)*B8)*12</f>
        <v>827725.51752284705</v>
      </c>
    </row>
    <row r="85" spans="1:20">
      <c r="A85" s="16">
        <v>0.04</v>
      </c>
      <c r="B85" s="35">
        <f>($B$8*$B$11)/A85</f>
        <v>10000</v>
      </c>
      <c r="C85" s="17">
        <f>B85/$B$12</f>
        <v>1.25</v>
      </c>
      <c r="E85" s="16">
        <v>0.1</v>
      </c>
      <c r="F85" s="35">
        <f>(B5+E85*(B6*((1+E85)^12-1)/E85)*B8)*12</f>
        <v>920764.25650815037</v>
      </c>
    </row>
    <row r="86" spans="1:20">
      <c r="A86" s="16">
        <v>0.05</v>
      </c>
      <c r="B86" s="35">
        <f>($B$8*$B$11)/A86</f>
        <v>8000</v>
      </c>
      <c r="C86" s="17">
        <f>B86/$B$12</f>
        <v>1</v>
      </c>
      <c r="E86" s="16">
        <v>0.12</v>
      </c>
      <c r="F86" s="35">
        <f>(B5+E86*(B6*((1+E86)^12-1)/E86)*B8)*12</f>
        <v>1034396.3988820467</v>
      </c>
    </row>
    <row r="88" spans="1:20">
      <c r="A88" s="3" t="s">
        <v>128</v>
      </c>
      <c r="E88" s="3" t="s">
        <v>129</v>
      </c>
    </row>
    <row r="89" spans="1:20">
      <c r="A89" s="4" t="s">
        <v>130</v>
      </c>
      <c r="B89" s="4" t="s">
        <v>131</v>
      </c>
      <c r="C89" s="4" t="s">
        <v>125</v>
      </c>
      <c r="E89" s="4" t="s">
        <v>132</v>
      </c>
      <c r="F89" s="4" t="s">
        <v>125</v>
      </c>
    </row>
    <row r="90" spans="1:20">
      <c r="A90" s="27" t="s">
        <v>130</v>
      </c>
      <c r="B90" s="28" t="s">
        <v>131</v>
      </c>
      <c r="C90" s="29" t="s">
        <v>125</v>
      </c>
      <c r="E90" s="27" t="s">
        <v>132</v>
      </c>
      <c r="F90" s="29" t="s">
        <v>125</v>
      </c>
    </row>
    <row r="91" spans="1:20">
      <c r="A91" s="24">
        <v>5000</v>
      </c>
      <c r="B91" s="26">
        <f>A91/($B$8*$B$11)</f>
        <v>12.5</v>
      </c>
      <c r="C91" s="25">
        <f>(($B$8*$B$11)/$B$9)/A91</f>
        <v>2.666666666666667</v>
      </c>
      <c r="E91" s="38">
        <v>300</v>
      </c>
      <c r="F91" s="25">
        <f>((E91*$B$11)/$B$9)/$B$12</f>
        <v>1</v>
      </c>
    </row>
    <row r="92" spans="1:20">
      <c r="A92" s="24">
        <v>8000</v>
      </c>
      <c r="B92" s="26">
        <f>A92/($B$8*$B$11)</f>
        <v>20</v>
      </c>
      <c r="C92" s="25">
        <f>(($B$8*$B$11)/$B$9)/A92</f>
        <v>1.6666666666666667</v>
      </c>
      <c r="E92" s="38">
        <v>500</v>
      </c>
      <c r="F92" s="25">
        <f>((E92*$B$11)/$B$9)/$B$12</f>
        <v>1.6666666666666667</v>
      </c>
    </row>
    <row r="93" spans="1:20">
      <c r="A93" s="14">
        <v>10000</v>
      </c>
      <c r="B93" s="18">
        <f>A93/($B$8*$B$11)</f>
        <v>25</v>
      </c>
      <c r="C93" s="17">
        <f>(($B$8*$B$11)/$B$9)/A93</f>
        <v>1.3333333333333335</v>
      </c>
      <c r="E93" s="35">
        <v>750</v>
      </c>
      <c r="F93" s="17">
        <f>((E93*$B$11)/$B$9)/$B$12</f>
        <v>2.5</v>
      </c>
    </row>
    <row r="95" spans="1:20">
      <c r="A95" s="2" t="s">
        <v>133</v>
      </c>
    </row>
    <row r="96" spans="1:20">
      <c r="A96" s="4" t="s">
        <v>100</v>
      </c>
      <c r="B96" s="4" t="s">
        <v>134</v>
      </c>
      <c r="C96" s="4" t="s">
        <v>135</v>
      </c>
      <c r="D96" s="4" t="s">
        <v>136</v>
      </c>
    </row>
    <row r="97" spans="1:4">
      <c r="A97" t="s">
        <v>104</v>
      </c>
      <c r="B97" t="s">
        <v>137</v>
      </c>
      <c r="C97" t="s">
        <v>138</v>
      </c>
      <c r="D97" t="s">
        <v>139</v>
      </c>
    </row>
    <row r="98" spans="1:4">
      <c r="A98" t="s">
        <v>70</v>
      </c>
      <c r="B98" t="s">
        <v>140</v>
      </c>
      <c r="C98" t="s">
        <v>141</v>
      </c>
      <c r="D98" t="s">
        <v>142</v>
      </c>
    </row>
    <row r="99" spans="1:4">
      <c r="A99" t="s">
        <v>143</v>
      </c>
      <c r="B99" t="s">
        <v>144</v>
      </c>
      <c r="C99" t="s">
        <v>145</v>
      </c>
      <c r="D99" t="s">
        <v>146</v>
      </c>
    </row>
    <row r="100" spans="1:4">
      <c r="A100" t="s">
        <v>124</v>
      </c>
      <c r="B100" t="s">
        <v>147</v>
      </c>
      <c r="C100" t="s">
        <v>148</v>
      </c>
      <c r="D100" t="s">
        <v>149</v>
      </c>
    </row>
    <row r="101" spans="1:4">
      <c r="A101" t="s">
        <v>109</v>
      </c>
      <c r="B101" t="s">
        <v>150</v>
      </c>
      <c r="C101" t="s">
        <v>151</v>
      </c>
      <c r="D101" t="s">
        <v>152</v>
      </c>
    </row>
    <row r="102" spans="1:4">
      <c r="A102" t="s">
        <v>153</v>
      </c>
      <c r="B102" t="s">
        <v>154</v>
      </c>
      <c r="C102" t="s">
        <v>155</v>
      </c>
      <c r="D102" t="s">
        <v>156</v>
      </c>
    </row>
    <row r="103" spans="1:4">
      <c r="A103" t="s">
        <v>97</v>
      </c>
      <c r="B103" t="s">
        <v>157</v>
      </c>
      <c r="C103" t="s">
        <v>158</v>
      </c>
      <c r="D103" t="s">
        <v>159</v>
      </c>
    </row>
    <row r="104" spans="1:4">
      <c r="A104" t="s">
        <v>160</v>
      </c>
      <c r="B104" t="s">
        <v>161</v>
      </c>
      <c r="C104" t="s">
        <v>162</v>
      </c>
      <c r="D104" t="s">
        <v>163</v>
      </c>
    </row>
    <row r="105" spans="1:4">
      <c r="A105" t="s">
        <v>164</v>
      </c>
      <c r="B105" t="s">
        <v>165</v>
      </c>
      <c r="C105" t="s">
        <v>166</v>
      </c>
      <c r="D105" t="s">
        <v>167</v>
      </c>
    </row>
    <row r="106" spans="1:4">
      <c r="A106" t="s">
        <v>105</v>
      </c>
      <c r="B106" t="s">
        <v>168</v>
      </c>
      <c r="C106" t="s">
        <v>169</v>
      </c>
      <c r="D106" t="s">
        <v>170</v>
      </c>
    </row>
    <row r="107" spans="1:4">
      <c r="A107" t="s">
        <v>107</v>
      </c>
      <c r="B107" t="s">
        <v>171</v>
      </c>
      <c r="C107" t="s">
        <v>172</v>
      </c>
      <c r="D107" t="s">
        <v>173</v>
      </c>
    </row>
    <row r="108" spans="1:4">
      <c r="A108" t="s">
        <v>174</v>
      </c>
      <c r="B108" t="s">
        <v>175</v>
      </c>
      <c r="C108" t="s">
        <v>176</v>
      </c>
      <c r="D108" t="s">
        <v>177</v>
      </c>
    </row>
    <row r="109" spans="1:4">
      <c r="A109" t="s">
        <v>178</v>
      </c>
      <c r="B109" t="s">
        <v>179</v>
      </c>
      <c r="C109" t="s">
        <v>180</v>
      </c>
      <c r="D109" t="s">
        <v>181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ABE7-5D2A-984E-8FBE-45E9AE48A1E7}">
  <sheetPr codeName="Sheet6"/>
  <dimension ref="A1:O47"/>
  <sheetViews>
    <sheetView showGridLines="0" zoomScale="85" zoomScaleNormal="85" workbookViewId="0">
      <selection activeCell="B46" sqref="B46"/>
    </sheetView>
  </sheetViews>
  <sheetFormatPr defaultColWidth="11.19921875" defaultRowHeight="15.6"/>
  <cols>
    <col min="1" max="1" width="35.796875" customWidth="1"/>
    <col min="2" max="15" width="21.69921875" customWidth="1"/>
  </cols>
  <sheetData>
    <row r="1" spans="1:15" ht="21">
      <c r="A1" s="1" t="s">
        <v>183</v>
      </c>
    </row>
    <row r="3" spans="1:15">
      <c r="A3" s="2" t="s">
        <v>184</v>
      </c>
    </row>
    <row r="4" spans="1:15">
      <c r="A4" s="4" t="s">
        <v>1</v>
      </c>
      <c r="B4" s="4" t="s">
        <v>2</v>
      </c>
      <c r="C4" s="4" t="s">
        <v>3</v>
      </c>
    </row>
    <row r="5" spans="1:15">
      <c r="A5" t="s">
        <v>185</v>
      </c>
      <c r="B5" s="39">
        <v>15000000</v>
      </c>
      <c r="C5" t="s">
        <v>186</v>
      </c>
    </row>
    <row r="6" spans="1:15">
      <c r="A6" t="s">
        <v>187</v>
      </c>
      <c r="B6" s="39">
        <v>45000000</v>
      </c>
      <c r="C6" t="s">
        <v>188</v>
      </c>
    </row>
    <row r="7" spans="1:15">
      <c r="A7" t="s">
        <v>189</v>
      </c>
      <c r="B7" s="16">
        <f>B5/(B5+B6)</f>
        <v>0.25</v>
      </c>
      <c r="C7" t="s">
        <v>190</v>
      </c>
      <c r="F7" s="32"/>
    </row>
    <row r="8" spans="1:15">
      <c r="A8" t="s">
        <v>191</v>
      </c>
      <c r="B8" s="6">
        <v>0.05</v>
      </c>
      <c r="C8" t="s">
        <v>192</v>
      </c>
    </row>
    <row r="9" spans="1:15">
      <c r="A9" t="s">
        <v>193</v>
      </c>
      <c r="B9" s="6">
        <v>2.5000000000000001E-2</v>
      </c>
      <c r="C9" t="s">
        <v>194</v>
      </c>
    </row>
    <row r="10" spans="1:15">
      <c r="A10" t="s">
        <v>195</v>
      </c>
      <c r="B10" s="6">
        <v>0.02</v>
      </c>
      <c r="C10" t="s">
        <v>196</v>
      </c>
    </row>
    <row r="11" spans="1:15">
      <c r="A11" t="s">
        <v>197</v>
      </c>
      <c r="B11" s="6">
        <v>0.01</v>
      </c>
      <c r="C11" t="s">
        <v>198</v>
      </c>
    </row>
    <row r="12" spans="1:15">
      <c r="A12" t="s">
        <v>199</v>
      </c>
      <c r="B12" s="6">
        <v>0.95</v>
      </c>
      <c r="C12" t="s">
        <v>200</v>
      </c>
    </row>
    <row r="14" spans="1:15">
      <c r="A14" s="2" t="s">
        <v>201</v>
      </c>
    </row>
    <row r="15" spans="1:15">
      <c r="A15" s="4"/>
      <c r="B15" s="8" t="s">
        <v>202</v>
      </c>
      <c r="C15" s="8" t="s">
        <v>203</v>
      </c>
      <c r="D15" s="8" t="s">
        <v>204</v>
      </c>
      <c r="E15" s="8" t="s">
        <v>205</v>
      </c>
      <c r="F15" s="8" t="s">
        <v>206</v>
      </c>
      <c r="G15" s="8" t="s">
        <v>207</v>
      </c>
      <c r="H15" s="8" t="s">
        <v>208</v>
      </c>
      <c r="I15" s="8" t="s">
        <v>209</v>
      </c>
      <c r="J15" s="8" t="s">
        <v>210</v>
      </c>
      <c r="K15" s="8" t="s">
        <v>211</v>
      </c>
      <c r="L15" s="8" t="s">
        <v>212</v>
      </c>
      <c r="M15" s="8" t="s">
        <v>213</v>
      </c>
      <c r="N15" s="9" t="s">
        <v>214</v>
      </c>
      <c r="O15" s="9" t="s">
        <v>215</v>
      </c>
    </row>
    <row r="16" spans="1:15">
      <c r="A16" s="10" t="s">
        <v>58</v>
      </c>
    </row>
    <row r="17" spans="1:15">
      <c r="A17" t="s">
        <v>59</v>
      </c>
      <c r="B17" s="11">
        <f>'SaaS Financial Model'!M34</f>
        <v>475</v>
      </c>
      <c r="C17" s="11">
        <f>B20</f>
        <v>523</v>
      </c>
      <c r="D17" s="11">
        <f t="shared" ref="D17:M17" si="0">C20</f>
        <v>573</v>
      </c>
      <c r="E17" s="11">
        <f t="shared" si="0"/>
        <v>625</v>
      </c>
      <c r="F17" s="11">
        <f t="shared" si="0"/>
        <v>678</v>
      </c>
      <c r="G17" s="11">
        <f t="shared" si="0"/>
        <v>733</v>
      </c>
      <c r="H17" s="11">
        <f t="shared" si="0"/>
        <v>791</v>
      </c>
      <c r="I17" s="11">
        <f t="shared" si="0"/>
        <v>851</v>
      </c>
      <c r="J17" s="11">
        <f t="shared" si="0"/>
        <v>914</v>
      </c>
      <c r="K17" s="11">
        <f t="shared" si="0"/>
        <v>979</v>
      </c>
      <c r="L17" s="11">
        <f t="shared" si="0"/>
        <v>1047</v>
      </c>
      <c r="M17" s="11">
        <f t="shared" si="0"/>
        <v>1118</v>
      </c>
      <c r="N17" s="13" t="s">
        <v>77</v>
      </c>
      <c r="O17" s="13" t="s">
        <v>77</v>
      </c>
    </row>
    <row r="18" spans="1:15">
      <c r="A18" t="s">
        <v>60</v>
      </c>
      <c r="B18" s="11">
        <f>ROUND('SaaS Financial Model'!M32*(1+$B$8),0)</f>
        <v>60</v>
      </c>
      <c r="C18" s="11">
        <f>ROUND(B18*(1+$B$8),0)</f>
        <v>63</v>
      </c>
      <c r="D18" s="11">
        <f t="shared" ref="D18:M18" si="1">ROUND(C18*(1+$B$8),0)</f>
        <v>66</v>
      </c>
      <c r="E18" s="11">
        <f t="shared" si="1"/>
        <v>69</v>
      </c>
      <c r="F18" s="11">
        <f t="shared" si="1"/>
        <v>72</v>
      </c>
      <c r="G18" s="11">
        <f t="shared" si="1"/>
        <v>76</v>
      </c>
      <c r="H18" s="11">
        <f t="shared" si="1"/>
        <v>80</v>
      </c>
      <c r="I18" s="11">
        <f t="shared" si="1"/>
        <v>84</v>
      </c>
      <c r="J18" s="11">
        <f t="shared" si="1"/>
        <v>88</v>
      </c>
      <c r="K18" s="11">
        <f t="shared" si="1"/>
        <v>92</v>
      </c>
      <c r="L18" s="11">
        <f t="shared" si="1"/>
        <v>97</v>
      </c>
      <c r="M18" s="11">
        <f t="shared" si="1"/>
        <v>102</v>
      </c>
      <c r="N18" s="11">
        <f>SUM(B18:M18)</f>
        <v>949</v>
      </c>
      <c r="O18" s="11">
        <f>N18+'SaaS Financial Model'!N32</f>
        <v>1415</v>
      </c>
    </row>
    <row r="19" spans="1:15">
      <c r="A19" t="s">
        <v>61</v>
      </c>
      <c r="B19" s="11">
        <f>-ROUND(B17*$B$9,0)</f>
        <v>-12</v>
      </c>
      <c r="C19" s="11">
        <f>-ROUND(C17*$B$9,0)</f>
        <v>-13</v>
      </c>
      <c r="D19" s="11">
        <f t="shared" ref="D19:M19" si="2">-ROUND(D17*$B$9,0)</f>
        <v>-14</v>
      </c>
      <c r="E19" s="11">
        <f t="shared" si="2"/>
        <v>-16</v>
      </c>
      <c r="F19" s="11">
        <f t="shared" si="2"/>
        <v>-17</v>
      </c>
      <c r="G19" s="11">
        <f t="shared" si="2"/>
        <v>-18</v>
      </c>
      <c r="H19" s="11">
        <f t="shared" si="2"/>
        <v>-20</v>
      </c>
      <c r="I19" s="11">
        <f t="shared" si="2"/>
        <v>-21</v>
      </c>
      <c r="J19" s="11">
        <f t="shared" si="2"/>
        <v>-23</v>
      </c>
      <c r="K19" s="11">
        <f t="shared" si="2"/>
        <v>-24</v>
      </c>
      <c r="L19" s="11">
        <f t="shared" si="2"/>
        <v>-26</v>
      </c>
      <c r="M19" s="11">
        <f t="shared" si="2"/>
        <v>-28</v>
      </c>
      <c r="N19" s="11">
        <f>SUM(B19:M19)</f>
        <v>-232</v>
      </c>
      <c r="O19" s="11">
        <f>N19+'SaaS Financial Model'!N33</f>
        <v>-323</v>
      </c>
    </row>
    <row r="20" spans="1:15">
      <c r="A20" s="3" t="s">
        <v>62</v>
      </c>
      <c r="B20" s="12">
        <f>B17+B18+B19</f>
        <v>523</v>
      </c>
      <c r="C20" s="12">
        <f>C17+C18+C19</f>
        <v>573</v>
      </c>
      <c r="D20" s="12">
        <f t="shared" ref="D20:M20" si="3">D17+D18+D19</f>
        <v>625</v>
      </c>
      <c r="E20" s="12">
        <f t="shared" si="3"/>
        <v>678</v>
      </c>
      <c r="F20" s="12">
        <f t="shared" si="3"/>
        <v>733</v>
      </c>
      <c r="G20" s="12">
        <f t="shared" si="3"/>
        <v>791</v>
      </c>
      <c r="H20" s="12">
        <f t="shared" si="3"/>
        <v>851</v>
      </c>
      <c r="I20" s="12">
        <f t="shared" si="3"/>
        <v>914</v>
      </c>
      <c r="J20" s="12">
        <f t="shared" si="3"/>
        <v>979</v>
      </c>
      <c r="K20" s="12">
        <f t="shared" si="3"/>
        <v>1047</v>
      </c>
      <c r="L20" s="12">
        <f t="shared" si="3"/>
        <v>1118</v>
      </c>
      <c r="M20" s="12">
        <f t="shared" si="3"/>
        <v>1192</v>
      </c>
      <c r="N20" s="12">
        <f>M20</f>
        <v>1192</v>
      </c>
      <c r="O20" s="12">
        <f>M20</f>
        <v>1192</v>
      </c>
    </row>
    <row r="22" spans="1:15">
      <c r="A22" s="10" t="s">
        <v>63</v>
      </c>
    </row>
    <row r="23" spans="1:15">
      <c r="A23" t="s">
        <v>64</v>
      </c>
      <c r="B23" s="35">
        <f>'SaaS Financial Model'!M42</f>
        <v>266890.3932415382</v>
      </c>
      <c r="C23" s="35">
        <f>B28</f>
        <v>295855.94127533049</v>
      </c>
      <c r="D23" s="35">
        <f t="shared" ref="D23:M23" si="4">C28</f>
        <v>326191.66156895383</v>
      </c>
      <c r="E23" s="35">
        <f t="shared" si="4"/>
        <v>357890.70326110907</v>
      </c>
      <c r="F23" s="35">
        <f t="shared" si="4"/>
        <v>390946.24974480353</v>
      </c>
      <c r="G23" s="35">
        <f t="shared" si="4"/>
        <v>425351.51849607949</v>
      </c>
      <c r="H23" s="35">
        <f t="shared" si="4"/>
        <v>461604.76090359909</v>
      </c>
      <c r="I23" s="35">
        <f t="shared" si="4"/>
        <v>499696.7370990811</v>
      </c>
      <c r="J23" s="35">
        <f t="shared" si="4"/>
        <v>539618.25341358571</v>
      </c>
      <c r="K23" s="35">
        <f t="shared" si="4"/>
        <v>581360.16214651777</v>
      </c>
      <c r="L23" s="35">
        <f t="shared" si="4"/>
        <v>624913.36133578513</v>
      </c>
      <c r="M23" s="35">
        <f t="shared" si="4"/>
        <v>670773.79452910624</v>
      </c>
      <c r="N23" s="36" t="s">
        <v>77</v>
      </c>
      <c r="O23" s="36" t="s">
        <v>77</v>
      </c>
    </row>
    <row r="24" spans="1:15">
      <c r="A24" t="s">
        <v>65</v>
      </c>
      <c r="B24" s="35">
        <f>B18*'SaaS Financial Model'!$B$8*(1+$B$11)</f>
        <v>30300</v>
      </c>
      <c r="C24" s="35">
        <f>C18*'SaaS Financial Model'!$B$8*(1+$B$11)</f>
        <v>31815</v>
      </c>
      <c r="D24" s="35">
        <f>D18*'SaaS Financial Model'!$B$8*(1+$B$11)</f>
        <v>33330</v>
      </c>
      <c r="E24" s="35">
        <f>E18*'SaaS Financial Model'!$B$8*(1+$B$11)</f>
        <v>34845</v>
      </c>
      <c r="F24" s="35">
        <f>F18*'SaaS Financial Model'!$B$8*(1+$B$11)</f>
        <v>36360</v>
      </c>
      <c r="G24" s="35">
        <f>G18*'SaaS Financial Model'!$B$8*(1+$B$11)</f>
        <v>38380</v>
      </c>
      <c r="H24" s="35">
        <f>H18*'SaaS Financial Model'!$B$8*(1+$B$11)</f>
        <v>40400</v>
      </c>
      <c r="I24" s="35">
        <f>I18*'SaaS Financial Model'!$B$8*(1+$B$11)</f>
        <v>42420</v>
      </c>
      <c r="J24" s="35">
        <f>J18*'SaaS Financial Model'!$B$8*(1+$B$11)</f>
        <v>44440</v>
      </c>
      <c r="K24" s="35">
        <f>K18*'SaaS Financial Model'!$B$8*(1+$B$11)</f>
        <v>46460</v>
      </c>
      <c r="L24" s="35">
        <f>L18*'SaaS Financial Model'!$B$8*(1+$B$11)</f>
        <v>48985</v>
      </c>
      <c r="M24" s="35">
        <f>M18*'SaaS Financial Model'!$B$8*(1+$B$11)</f>
        <v>51510</v>
      </c>
      <c r="N24" s="35">
        <f>SUM(B24:M24)</f>
        <v>479245</v>
      </c>
      <c r="O24" s="35">
        <f>N24+'SaaS Financial Model'!N38</f>
        <v>712245</v>
      </c>
    </row>
    <row r="25" spans="1:15">
      <c r="A25" t="s">
        <v>66</v>
      </c>
      <c r="B25" s="35">
        <f>B23*'SaaS Financial Model'!$B$10</f>
        <v>5337.8078648307637</v>
      </c>
      <c r="C25" s="35">
        <f>C23*'SaaS Financial Model'!$B$10</f>
        <v>5917.1188255066099</v>
      </c>
      <c r="D25" s="35">
        <f>D23*'SaaS Financial Model'!$B$10</f>
        <v>6523.833231379077</v>
      </c>
      <c r="E25" s="35">
        <f>E23*'SaaS Financial Model'!$B$10</f>
        <v>7157.8140652221819</v>
      </c>
      <c r="F25" s="35">
        <f>F23*'SaaS Financial Model'!$B$10</f>
        <v>7818.9249948960705</v>
      </c>
      <c r="G25" s="35">
        <f>G23*'SaaS Financial Model'!$B$10</f>
        <v>8507.0303699215892</v>
      </c>
      <c r="H25" s="35">
        <f>H23*'SaaS Financial Model'!$B$10</f>
        <v>9232.0952180719814</v>
      </c>
      <c r="I25" s="35">
        <f>I23*'SaaS Financial Model'!$B$10</f>
        <v>9993.9347419816222</v>
      </c>
      <c r="J25" s="35">
        <f>J23*'SaaS Financial Model'!$B$10</f>
        <v>10792.365068271714</v>
      </c>
      <c r="K25" s="35">
        <f>K23*'SaaS Financial Model'!$B$10</f>
        <v>11627.203242930356</v>
      </c>
      <c r="L25" s="35">
        <f>L23*'SaaS Financial Model'!$B$10</f>
        <v>12498.267226715703</v>
      </c>
      <c r="M25" s="35">
        <f>M23*'SaaS Financial Model'!$B$10</f>
        <v>13415.475890582125</v>
      </c>
      <c r="N25" s="35">
        <f>SUM(B25:M25)</f>
        <v>108821.87074030978</v>
      </c>
      <c r="O25" s="35">
        <f>N25+'SaaS Financial Model'!N39</f>
        <v>141041.08425723345</v>
      </c>
    </row>
    <row r="26" spans="1:15">
      <c r="A26" t="s">
        <v>67</v>
      </c>
      <c r="B26" s="35">
        <f>-B23*$B$9</f>
        <v>-6672.2598310384556</v>
      </c>
      <c r="C26" s="35">
        <f>-C23*$B$9</f>
        <v>-7396.3985318832629</v>
      </c>
      <c r="D26" s="35">
        <f t="shared" ref="D26:M26" si="5">-D23*$B$9</f>
        <v>-8154.7915392238465</v>
      </c>
      <c r="E26" s="35">
        <f t="shared" si="5"/>
        <v>-8947.2675815277271</v>
      </c>
      <c r="F26" s="35">
        <f t="shared" si="5"/>
        <v>-9773.6562436200893</v>
      </c>
      <c r="G26" s="35">
        <f t="shared" si="5"/>
        <v>-10633.787962401988</v>
      </c>
      <c r="H26" s="35">
        <f t="shared" si="5"/>
        <v>-11540.119022589977</v>
      </c>
      <c r="I26" s="35">
        <f t="shared" si="5"/>
        <v>-12492.418427477029</v>
      </c>
      <c r="J26" s="35">
        <f t="shared" si="5"/>
        <v>-13490.456335339644</v>
      </c>
      <c r="K26" s="35">
        <f t="shared" si="5"/>
        <v>-14534.004053662946</v>
      </c>
      <c r="L26" s="35">
        <f t="shared" si="5"/>
        <v>-15622.834033394629</v>
      </c>
      <c r="M26" s="35">
        <f t="shared" si="5"/>
        <v>-16769.344863227656</v>
      </c>
      <c r="N26" s="35">
        <f>SUM(B26:M26)</f>
        <v>-136027.33842538722</v>
      </c>
      <c r="O26" s="35">
        <f>N26+'SaaS Financial Model'!N40</f>
        <v>-184356.15870077271</v>
      </c>
    </row>
    <row r="27" spans="1:15">
      <c r="A27" t="s">
        <v>68</v>
      </c>
      <c r="B27" s="35">
        <f>B24+B25+B26</f>
        <v>28965.548033792307</v>
      </c>
      <c r="C27" s="35">
        <f>C24+C25+C26</f>
        <v>30335.720293623344</v>
      </c>
      <c r="D27" s="35">
        <f t="shared" ref="D27:M27" si="6">D24+D25+D26</f>
        <v>31699.041692155228</v>
      </c>
      <c r="E27" s="35">
        <f t="shared" si="6"/>
        <v>33055.546483694459</v>
      </c>
      <c r="F27" s="35">
        <f t="shared" si="6"/>
        <v>34405.26875127598</v>
      </c>
      <c r="G27" s="35">
        <f t="shared" si="6"/>
        <v>36253.242407519603</v>
      </c>
      <c r="H27" s="35">
        <f t="shared" si="6"/>
        <v>38091.976195482006</v>
      </c>
      <c r="I27" s="35">
        <f t="shared" si="6"/>
        <v>39921.516314504588</v>
      </c>
      <c r="J27" s="35">
        <f t="shared" si="6"/>
        <v>41741.908732932068</v>
      </c>
      <c r="K27" s="35">
        <f t="shared" si="6"/>
        <v>43553.199189267412</v>
      </c>
      <c r="L27" s="35">
        <f t="shared" si="6"/>
        <v>45860.433193321078</v>
      </c>
      <c r="M27" s="35">
        <f t="shared" si="6"/>
        <v>48156.131027354466</v>
      </c>
      <c r="N27" s="35">
        <f>SUM(B27:M27)</f>
        <v>452039.53231492249</v>
      </c>
      <c r="O27" s="35">
        <f>N27+'SaaS Financial Model'!N41</f>
        <v>668929.92555646063</v>
      </c>
    </row>
    <row r="28" spans="1:15">
      <c r="A28" s="3" t="s">
        <v>69</v>
      </c>
      <c r="B28" s="37">
        <f>B23+B27</f>
        <v>295855.94127533049</v>
      </c>
      <c r="C28" s="37">
        <f>C23+C27</f>
        <v>326191.66156895383</v>
      </c>
      <c r="D28" s="37">
        <f t="shared" ref="D28:M28" si="7">D23+D27</f>
        <v>357890.70326110907</v>
      </c>
      <c r="E28" s="37">
        <f t="shared" si="7"/>
        <v>390946.24974480353</v>
      </c>
      <c r="F28" s="37">
        <f t="shared" si="7"/>
        <v>425351.51849607949</v>
      </c>
      <c r="G28" s="37">
        <f t="shared" si="7"/>
        <v>461604.76090359909</v>
      </c>
      <c r="H28" s="37">
        <f t="shared" si="7"/>
        <v>499696.7370990811</v>
      </c>
      <c r="I28" s="37">
        <f t="shared" si="7"/>
        <v>539618.25341358571</v>
      </c>
      <c r="J28" s="37">
        <f t="shared" si="7"/>
        <v>581360.16214651777</v>
      </c>
      <c r="K28" s="37">
        <f t="shared" si="7"/>
        <v>624913.36133578513</v>
      </c>
      <c r="L28" s="37">
        <f t="shared" si="7"/>
        <v>670773.79452910624</v>
      </c>
      <c r="M28" s="37">
        <f t="shared" si="7"/>
        <v>718929.92555646074</v>
      </c>
      <c r="N28" s="37">
        <f>M28</f>
        <v>718929.92555646074</v>
      </c>
      <c r="O28" s="37">
        <f>M28</f>
        <v>718929.92555646074</v>
      </c>
    </row>
    <row r="29" spans="1:15">
      <c r="A29" s="3" t="s">
        <v>70</v>
      </c>
      <c r="B29" s="37">
        <f>B28*12</f>
        <v>3550271.2953039659</v>
      </c>
      <c r="C29" s="37">
        <f>C28*12</f>
        <v>3914299.9388274457</v>
      </c>
      <c r="D29" s="37">
        <f t="shared" ref="D29:M29" si="8">D28*12</f>
        <v>4294688.4391333088</v>
      </c>
      <c r="E29" s="37">
        <f t="shared" si="8"/>
        <v>4691354.9969376419</v>
      </c>
      <c r="F29" s="37">
        <f t="shared" si="8"/>
        <v>5104218.2219529543</v>
      </c>
      <c r="G29" s="37">
        <f t="shared" si="8"/>
        <v>5539257.1308431886</v>
      </c>
      <c r="H29" s="37">
        <f t="shared" si="8"/>
        <v>5996360.8451889735</v>
      </c>
      <c r="I29" s="37">
        <f t="shared" si="8"/>
        <v>6475419.0409630286</v>
      </c>
      <c r="J29" s="37">
        <f t="shared" si="8"/>
        <v>6976321.9457582133</v>
      </c>
      <c r="K29" s="37">
        <f t="shared" si="8"/>
        <v>7498960.3360294215</v>
      </c>
      <c r="L29" s="37">
        <f t="shared" si="8"/>
        <v>8049285.5343492748</v>
      </c>
      <c r="M29" s="37">
        <f t="shared" si="8"/>
        <v>8627159.1066775285</v>
      </c>
      <c r="N29" s="37">
        <f>M29</f>
        <v>8627159.1066775285</v>
      </c>
      <c r="O29" s="37">
        <f>M29</f>
        <v>8627159.1066775285</v>
      </c>
    </row>
    <row r="31" spans="1:15">
      <c r="A31" s="10" t="s">
        <v>71</v>
      </c>
    </row>
    <row r="32" spans="1:15">
      <c r="A32" t="s">
        <v>72</v>
      </c>
      <c r="B32" s="35">
        <f>B28</f>
        <v>295855.94127533049</v>
      </c>
      <c r="C32" s="35">
        <f>C28</f>
        <v>326191.66156895383</v>
      </c>
      <c r="D32" s="35">
        <f t="shared" ref="D32:M32" si="9">D28</f>
        <v>357890.70326110907</v>
      </c>
      <c r="E32" s="35">
        <f t="shared" si="9"/>
        <v>390946.24974480353</v>
      </c>
      <c r="F32" s="35">
        <f t="shared" si="9"/>
        <v>425351.51849607949</v>
      </c>
      <c r="G32" s="35">
        <f t="shared" si="9"/>
        <v>461604.76090359909</v>
      </c>
      <c r="H32" s="35">
        <f t="shared" si="9"/>
        <v>499696.7370990811</v>
      </c>
      <c r="I32" s="35">
        <f t="shared" si="9"/>
        <v>539618.25341358571</v>
      </c>
      <c r="J32" s="35">
        <f t="shared" si="9"/>
        <v>581360.16214651777</v>
      </c>
      <c r="K32" s="35">
        <f t="shared" si="9"/>
        <v>624913.36133578513</v>
      </c>
      <c r="L32" s="35">
        <f t="shared" si="9"/>
        <v>670773.79452910624</v>
      </c>
      <c r="M32" s="35">
        <f t="shared" si="9"/>
        <v>718929.92555646074</v>
      </c>
      <c r="N32" s="35">
        <f>SUM(B32:M32)</f>
        <v>5893133.0693304129</v>
      </c>
      <c r="O32" s="35">
        <f>N32+'SaaS Financial Model'!N46</f>
        <v>7720984.1384181343</v>
      </c>
    </row>
    <row r="33" spans="1:15">
      <c r="A33" t="s">
        <v>73</v>
      </c>
      <c r="B33" s="35">
        <f>-B32*(1-'SaaS Financial Model'!$B$11)</f>
        <v>-59171.188255066088</v>
      </c>
      <c r="C33" s="35">
        <f>-C32*(1-'SaaS Financial Model'!$B$11)</f>
        <v>-65238.33231379075</v>
      </c>
      <c r="D33" s="35">
        <f>-D32*(1-'SaaS Financial Model'!$B$11)</f>
        <v>-71578.140652221802</v>
      </c>
      <c r="E33" s="35">
        <f>-E32*(1-'SaaS Financial Model'!$B$11)</f>
        <v>-78189.249948960685</v>
      </c>
      <c r="F33" s="35">
        <f>-F32*(1-'SaaS Financial Model'!$B$11)</f>
        <v>-85070.303699215874</v>
      </c>
      <c r="G33" s="35">
        <f>-G32*(1-'SaaS Financial Model'!$B$11)</f>
        <v>-92320.952180719803</v>
      </c>
      <c r="H33" s="35">
        <f>-H32*(1-'SaaS Financial Model'!$B$11)</f>
        <v>-99939.3474198162</v>
      </c>
      <c r="I33" s="35">
        <f>-I32*(1-'SaaS Financial Model'!$B$11)</f>
        <v>-107923.65068271713</v>
      </c>
      <c r="J33" s="35">
        <f>-J32*(1-'SaaS Financial Model'!$B$11)</f>
        <v>-116272.03242930352</v>
      </c>
      <c r="K33" s="35">
        <f>-K32*(1-'SaaS Financial Model'!$B$11)</f>
        <v>-124982.672267157</v>
      </c>
      <c r="L33" s="35">
        <f>-L32*(1-'SaaS Financial Model'!$B$11)</f>
        <v>-134154.75890582122</v>
      </c>
      <c r="M33" s="35">
        <f>-M32*(1-'SaaS Financial Model'!$B$11)</f>
        <v>-143785.98511129213</v>
      </c>
      <c r="N33" s="35">
        <f>SUM(B33:M33)</f>
        <v>-1178626.6138660822</v>
      </c>
      <c r="O33" s="35">
        <f>N33+'SaaS Financial Model'!N47</f>
        <v>-1544196.8276836264</v>
      </c>
    </row>
    <row r="34" spans="1:15">
      <c r="A34" s="3" t="s">
        <v>74</v>
      </c>
      <c r="B34" s="37">
        <f>B32+B33</f>
        <v>236684.75302026441</v>
      </c>
      <c r="C34" s="37">
        <f>C32+C33</f>
        <v>260953.32925516309</v>
      </c>
      <c r="D34" s="37">
        <f t="shared" ref="D34:M34" si="10">D32+D33</f>
        <v>286312.56260888727</v>
      </c>
      <c r="E34" s="37">
        <f t="shared" si="10"/>
        <v>312756.99979584286</v>
      </c>
      <c r="F34" s="37">
        <f t="shared" si="10"/>
        <v>340281.21479686361</v>
      </c>
      <c r="G34" s="37">
        <f t="shared" si="10"/>
        <v>369283.80872287927</v>
      </c>
      <c r="H34" s="37">
        <f t="shared" si="10"/>
        <v>399757.38967926492</v>
      </c>
      <c r="I34" s="37">
        <f t="shared" si="10"/>
        <v>431694.60273086862</v>
      </c>
      <c r="J34" s="37">
        <f t="shared" si="10"/>
        <v>465088.12971721427</v>
      </c>
      <c r="K34" s="37">
        <f t="shared" si="10"/>
        <v>499930.68906862813</v>
      </c>
      <c r="L34" s="37">
        <f t="shared" si="10"/>
        <v>536619.03562328499</v>
      </c>
      <c r="M34" s="37">
        <f t="shared" si="10"/>
        <v>575143.94044516864</v>
      </c>
      <c r="N34" s="37">
        <f>SUM(B34:M34)</f>
        <v>4714506.4554643296</v>
      </c>
      <c r="O34" s="37">
        <f>N34+'SaaS Financial Model'!N48</f>
        <v>6176787.3107345067</v>
      </c>
    </row>
    <row r="35" spans="1:15">
      <c r="A35" t="s">
        <v>75</v>
      </c>
      <c r="B35" s="35">
        <f>'SaaS Financial Model'!M49*(1+$B$10)</f>
        <v>-402396.78621959651</v>
      </c>
      <c r="C35" s="35">
        <f>B35*(1+$B$10)</f>
        <v>-410444.72194398846</v>
      </c>
      <c r="D35" s="35">
        <f t="shared" ref="D35:M35" si="11">C35*(1+$B$10)</f>
        <v>-418653.61638286826</v>
      </c>
      <c r="E35" s="35">
        <f t="shared" si="11"/>
        <v>-427026.68871052563</v>
      </c>
      <c r="F35" s="35">
        <f t="shared" si="11"/>
        <v>-435567.22248473618</v>
      </c>
      <c r="G35" s="35">
        <f t="shared" si="11"/>
        <v>-444278.56693443091</v>
      </c>
      <c r="H35" s="35">
        <f t="shared" si="11"/>
        <v>-453164.13827311952</v>
      </c>
      <c r="I35" s="35">
        <f t="shared" si="11"/>
        <v>-462227.42103858193</v>
      </c>
      <c r="J35" s="35">
        <f t="shared" si="11"/>
        <v>-471471.9694593536</v>
      </c>
      <c r="K35" s="35">
        <f t="shared" si="11"/>
        <v>-480901.40884854068</v>
      </c>
      <c r="L35" s="35">
        <f t="shared" si="11"/>
        <v>-490519.43702551152</v>
      </c>
      <c r="M35" s="35">
        <f t="shared" si="11"/>
        <v>-500329.82576602174</v>
      </c>
      <c r="N35" s="35">
        <f>SUM(B35:M35)</f>
        <v>-5396981.8030872745</v>
      </c>
      <c r="O35" s="35">
        <f>N35+'SaaS Financial Model'!N49</f>
        <v>-9441710.2281259745</v>
      </c>
    </row>
    <row r="36" spans="1:15">
      <c r="A36" s="3" t="s">
        <v>76</v>
      </c>
      <c r="B36" s="37">
        <f>B34+B35</f>
        <v>-165712.0331993321</v>
      </c>
      <c r="C36" s="37">
        <f>C34+C35</f>
        <v>-149491.39268882538</v>
      </c>
      <c r="D36" s="37">
        <f t="shared" ref="D36:M36" si="12">D34+D35</f>
        <v>-132341.053773981</v>
      </c>
      <c r="E36" s="37">
        <f t="shared" si="12"/>
        <v>-114269.68891468277</v>
      </c>
      <c r="F36" s="37">
        <f t="shared" si="12"/>
        <v>-95286.007687872567</v>
      </c>
      <c r="G36" s="37">
        <f t="shared" si="12"/>
        <v>-74994.758211551642</v>
      </c>
      <c r="H36" s="37">
        <f t="shared" si="12"/>
        <v>-53406.748593854601</v>
      </c>
      <c r="I36" s="37">
        <f t="shared" si="12"/>
        <v>-30532.818307713314</v>
      </c>
      <c r="J36" s="37">
        <f t="shared" si="12"/>
        <v>-6383.8397421393311</v>
      </c>
      <c r="K36" s="37">
        <f t="shared" si="12"/>
        <v>19029.280220087443</v>
      </c>
      <c r="L36" s="37">
        <f t="shared" si="12"/>
        <v>46099.598597773467</v>
      </c>
      <c r="M36" s="37">
        <f t="shared" si="12"/>
        <v>74814.114679146907</v>
      </c>
      <c r="N36" s="37">
        <f>SUM(B36:M36)</f>
        <v>-682475.34762294474</v>
      </c>
      <c r="O36" s="37">
        <f>N36+'SaaS Financial Model'!N50</f>
        <v>-3264922.9173914678</v>
      </c>
    </row>
    <row r="37" spans="1:1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1:15">
      <c r="A38" s="10" t="s">
        <v>78</v>
      </c>
    </row>
    <row r="39" spans="1:15">
      <c r="A39" t="s">
        <v>79</v>
      </c>
      <c r="B39" s="35">
        <f>'SaaS Financial Model'!M57</f>
        <v>-3310447.5697685238</v>
      </c>
      <c r="C39" s="35">
        <f>B44</f>
        <v>11067840.397032144</v>
      </c>
      <c r="D39" s="35">
        <f t="shared" ref="D39:M39" si="13">C44</f>
        <v>10439549.004343318</v>
      </c>
      <c r="E39" s="35">
        <f t="shared" si="13"/>
        <v>9805607.9505693372</v>
      </c>
      <c r="F39" s="35">
        <f t="shared" si="13"/>
        <v>9166938.2616546545</v>
      </c>
      <c r="G39" s="35">
        <f t="shared" si="13"/>
        <v>8524452.2539667822</v>
      </c>
      <c r="H39" s="35">
        <f t="shared" si="13"/>
        <v>7871857.495755231</v>
      </c>
      <c r="I39" s="35">
        <f t="shared" si="13"/>
        <v>7210450.7471613763</v>
      </c>
      <c r="J39" s="35">
        <f t="shared" si="13"/>
        <v>6541517.9288536627</v>
      </c>
      <c r="K39" s="35">
        <f t="shared" si="13"/>
        <v>5866334.0891115237</v>
      </c>
      <c r="L39" s="35">
        <f t="shared" si="13"/>
        <v>5186163.3693316113</v>
      </c>
      <c r="M39" s="35">
        <f t="shared" si="13"/>
        <v>4495062.9679293847</v>
      </c>
    </row>
    <row r="40" spans="1:15">
      <c r="A40" s="30" t="s">
        <v>216</v>
      </c>
      <c r="B40" s="40">
        <f>$B$5</f>
        <v>15000000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5">
      <c r="A41" t="s">
        <v>80</v>
      </c>
      <c r="B41" s="35">
        <f>B36</f>
        <v>-165712.0331993321</v>
      </c>
      <c r="C41" s="35">
        <f>C36</f>
        <v>-149491.39268882538</v>
      </c>
      <c r="D41" s="35">
        <f t="shared" ref="D41:M41" si="14">D36</f>
        <v>-132341.053773981</v>
      </c>
      <c r="E41" s="35">
        <f t="shared" si="14"/>
        <v>-114269.68891468277</v>
      </c>
      <c r="F41" s="35">
        <f t="shared" si="14"/>
        <v>-95286.007687872567</v>
      </c>
      <c r="G41" s="35">
        <f t="shared" si="14"/>
        <v>-74994.758211551642</v>
      </c>
      <c r="H41" s="35">
        <f t="shared" si="14"/>
        <v>-53406.748593854601</v>
      </c>
      <c r="I41" s="35">
        <f t="shared" si="14"/>
        <v>-30532.818307713314</v>
      </c>
      <c r="J41" s="35">
        <f t="shared" si="14"/>
        <v>-6383.8397421393311</v>
      </c>
      <c r="K41" s="35">
        <f t="shared" si="14"/>
        <v>19029.280220087443</v>
      </c>
      <c r="L41" s="35">
        <f t="shared" si="14"/>
        <v>46099.598597773467</v>
      </c>
      <c r="M41" s="35">
        <f t="shared" si="14"/>
        <v>74814.114679146907</v>
      </c>
    </row>
    <row r="42" spans="1:15">
      <c r="A42" t="s">
        <v>81</v>
      </c>
      <c r="B42" s="35">
        <f>-B18*'SaaS Financial Model'!$B$12*$B$12</f>
        <v>-456000</v>
      </c>
      <c r="C42" s="35">
        <f>-C18*'SaaS Financial Model'!$B$12*$B$12</f>
        <v>-478800</v>
      </c>
      <c r="D42" s="35">
        <f>-D18*'SaaS Financial Model'!$B$12*$B$12</f>
        <v>-501600</v>
      </c>
      <c r="E42" s="35">
        <f>-E18*'SaaS Financial Model'!$B$12*$B$12</f>
        <v>-524400</v>
      </c>
      <c r="F42" s="35">
        <f>-F18*'SaaS Financial Model'!$B$12*$B$12</f>
        <v>-547200</v>
      </c>
      <c r="G42" s="35">
        <f>-G18*'SaaS Financial Model'!$B$12*$B$12</f>
        <v>-577600</v>
      </c>
      <c r="H42" s="35">
        <f>-H18*'SaaS Financial Model'!$B$12*$B$12</f>
        <v>-608000</v>
      </c>
      <c r="I42" s="35">
        <f>-I18*'SaaS Financial Model'!$B$12*$B$12</f>
        <v>-638400</v>
      </c>
      <c r="J42" s="35">
        <f>-J18*'SaaS Financial Model'!$B$12*$B$12</f>
        <v>-668800</v>
      </c>
      <c r="K42" s="35">
        <f>-K18*'SaaS Financial Model'!$B$12*$B$12</f>
        <v>-699200</v>
      </c>
      <c r="L42" s="35">
        <f>-L18*'SaaS Financial Model'!$B$12*$B$12</f>
        <v>-737200</v>
      </c>
      <c r="M42" s="35">
        <f>-M18*'SaaS Financial Model'!$B$12*$B$12</f>
        <v>-775200</v>
      </c>
    </row>
    <row r="43" spans="1:15">
      <c r="A43" t="s">
        <v>82</v>
      </c>
      <c r="B43" s="35">
        <f>B40+B41+B42</f>
        <v>14378287.966800667</v>
      </c>
      <c r="C43" s="35">
        <f>C40+C41+C42</f>
        <v>-628291.39268882538</v>
      </c>
      <c r="D43" s="35">
        <f t="shared" ref="D43:M43" si="15">D40+D41+D42</f>
        <v>-633941.05377398105</v>
      </c>
      <c r="E43" s="35">
        <f t="shared" si="15"/>
        <v>-638669.68891468272</v>
      </c>
      <c r="F43" s="35">
        <f t="shared" si="15"/>
        <v>-642486.00768787251</v>
      </c>
      <c r="G43" s="35">
        <f t="shared" si="15"/>
        <v>-652594.7582115517</v>
      </c>
      <c r="H43" s="35">
        <f t="shared" si="15"/>
        <v>-661406.7485938546</v>
      </c>
      <c r="I43" s="35">
        <f t="shared" si="15"/>
        <v>-668932.81830771337</v>
      </c>
      <c r="J43" s="35">
        <f t="shared" si="15"/>
        <v>-675183.83974213933</v>
      </c>
      <c r="K43" s="35">
        <f t="shared" si="15"/>
        <v>-680170.71977991262</v>
      </c>
      <c r="L43" s="35">
        <f t="shared" si="15"/>
        <v>-691100.40140222653</v>
      </c>
      <c r="M43" s="35">
        <f t="shared" si="15"/>
        <v>-700385.88532085309</v>
      </c>
    </row>
    <row r="44" spans="1:15">
      <c r="A44" s="3" t="s">
        <v>83</v>
      </c>
      <c r="B44" s="37">
        <f>B39+B43</f>
        <v>11067840.397032144</v>
      </c>
      <c r="C44" s="37">
        <f>C39+C43</f>
        <v>10439549.004343318</v>
      </c>
      <c r="D44" s="37">
        <f t="shared" ref="D44:M44" si="16">D39+D43</f>
        <v>9805607.9505693372</v>
      </c>
      <c r="E44" s="37">
        <f t="shared" si="16"/>
        <v>9166938.2616546545</v>
      </c>
      <c r="F44" s="37">
        <f t="shared" si="16"/>
        <v>8524452.2539667822</v>
      </c>
      <c r="G44" s="37">
        <f t="shared" si="16"/>
        <v>7871857.495755231</v>
      </c>
      <c r="H44" s="37">
        <f t="shared" si="16"/>
        <v>7210450.7471613763</v>
      </c>
      <c r="I44" s="37">
        <f t="shared" si="16"/>
        <v>6541517.9288536627</v>
      </c>
      <c r="J44" s="37">
        <f t="shared" si="16"/>
        <v>5866334.0891115237</v>
      </c>
      <c r="K44" s="37">
        <f t="shared" si="16"/>
        <v>5186163.3693316113</v>
      </c>
      <c r="L44" s="37">
        <f t="shared" si="16"/>
        <v>4495062.9679293847</v>
      </c>
      <c r="M44" s="37">
        <f t="shared" si="16"/>
        <v>3794677.0826085317</v>
      </c>
    </row>
    <row r="46" spans="1:15">
      <c r="A46" s="3" t="s">
        <v>84</v>
      </c>
    </row>
    <row r="47" spans="1:15">
      <c r="A47" s="1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Exeutive Dashboard</vt:lpstr>
      <vt:lpstr>12 Month Rolling Forecast</vt:lpstr>
      <vt:lpstr>Assumptions &amp; Data</vt:lpstr>
      <vt:lpstr>SaaS Financial Model</vt:lpstr>
      <vt:lpstr>Year 2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Ahmed Ezz eldeen</cp:lastModifiedBy>
  <dcterms:created xsi:type="dcterms:W3CDTF">2025-12-10T07:48:31Z</dcterms:created>
  <dcterms:modified xsi:type="dcterms:W3CDTF">2026-01-02T21:13:31Z</dcterms:modified>
</cp:coreProperties>
</file>